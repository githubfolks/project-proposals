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Planned" sheetId="1" r:id="rId1"/>
    <sheet name="Aapsi-Batwara" sheetId="3" r:id="rId2"/>
    <sheet name="Chargachhiya-Khajur-Boundry" sheetId="2" r:id="rId3"/>
    <sheet name="Kal Baari Gherai" sheetId="4" r:id="rId4"/>
  </sheets>
  <definedNames>
    <definedName name="_xlnm.Print_Area" localSheetId="2">'Chargachhiya-Khajur-Boundry'!$A$1:$G$46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F3" i="2"/>
  <c r="C3" i="4" l="1"/>
  <c r="C3" i="3" l="1"/>
  <c r="D3" i="3"/>
  <c r="J2" i="3"/>
  <c r="C2" i="3"/>
  <c r="D2" i="3"/>
  <c r="B2" i="3"/>
  <c r="B3" i="3" s="1"/>
  <c r="I2" i="3"/>
  <c r="H2" i="3"/>
  <c r="E3" i="2" l="1"/>
  <c r="D3" i="2"/>
  <c r="G3" i="2" s="1"/>
  <c r="C3" i="2"/>
  <c r="I3" i="2" l="1"/>
  <c r="J4" i="2" s="1"/>
  <c r="B2" i="1"/>
  <c r="K10" i="2" l="1"/>
  <c r="K9" i="2"/>
  <c r="J5" i="2"/>
  <c r="J6" i="2"/>
</calcChain>
</file>

<file path=xl/sharedStrings.xml><?xml version="1.0" encoding="utf-8"?>
<sst xmlns="http://schemas.openxmlformats.org/spreadsheetml/2006/main" count="141" uniqueCount="88">
  <si>
    <t>Expected</t>
  </si>
  <si>
    <t>Marriage</t>
  </si>
  <si>
    <t>Mode</t>
  </si>
  <si>
    <t>Chhavi</t>
  </si>
  <si>
    <t>Deposit/FD</t>
  </si>
  <si>
    <t>Vaibhav</t>
  </si>
  <si>
    <t>Study</t>
  </si>
  <si>
    <t>Running</t>
  </si>
  <si>
    <t>Expected Expenses</t>
  </si>
  <si>
    <t>Katihar Home</t>
  </si>
  <si>
    <t>Rennovation</t>
  </si>
  <si>
    <t>Gharari</t>
  </si>
  <si>
    <t>Fencing</t>
  </si>
  <si>
    <t>Vikram</t>
  </si>
  <si>
    <t>Loan Repay</t>
  </si>
  <si>
    <t>Prabhat Nagar</t>
  </si>
  <si>
    <t>Julee Beta</t>
  </si>
  <si>
    <t>Fund Incoming</t>
  </si>
  <si>
    <t>Clinic Setup + 1 Floor</t>
  </si>
  <si>
    <t>Shubhi</t>
  </si>
  <si>
    <t>Planned Activity</t>
  </si>
  <si>
    <t>Priority</t>
  </si>
  <si>
    <t>Darbhanga Home</t>
  </si>
  <si>
    <t>Article Name</t>
  </si>
  <si>
    <t>Date</t>
  </si>
  <si>
    <t>Items</t>
  </si>
  <si>
    <t>Spent By</t>
  </si>
  <si>
    <t>Dhaga</t>
  </si>
  <si>
    <t>Nunu Bhai</t>
  </si>
  <si>
    <t>Tagar/Belcha etc</t>
  </si>
  <si>
    <t>Bablu/Gitti</t>
  </si>
  <si>
    <t>Labour Charge</t>
  </si>
  <si>
    <t>Cement</t>
  </si>
  <si>
    <t>Bricks</t>
  </si>
  <si>
    <t>Prasad &amp; Misc</t>
  </si>
  <si>
    <t>Pipe joint etc</t>
  </si>
  <si>
    <t>Connector</t>
  </si>
  <si>
    <t>Tea Cup</t>
  </si>
  <si>
    <t>Gitti/Balu</t>
  </si>
  <si>
    <t>Nulka pipe</t>
  </si>
  <si>
    <t>Balu</t>
  </si>
  <si>
    <t>Bricks Dhulayee</t>
  </si>
  <si>
    <t>Total</t>
  </si>
  <si>
    <t>Rods</t>
  </si>
  <si>
    <t>Upcoming Expenses</t>
  </si>
  <si>
    <t>Balu/Gitti</t>
  </si>
  <si>
    <t>Rods Payment</t>
  </si>
  <si>
    <t>Lekhnath Lal</t>
  </si>
  <si>
    <t>Umanath Lal</t>
  </si>
  <si>
    <t>Rewatinath Lal</t>
  </si>
  <si>
    <t>Purpose of Expenses</t>
  </si>
  <si>
    <t>Total Expenses</t>
  </si>
  <si>
    <t>Deposites</t>
  </si>
  <si>
    <t>Remaining</t>
  </si>
  <si>
    <t>04-03-2025 [Sumit Anand]</t>
  </si>
  <si>
    <t>04-03-2025 [Vedanand Lal]</t>
  </si>
  <si>
    <t>Baalu</t>
  </si>
  <si>
    <t>Labour</t>
  </si>
  <si>
    <t>Chai Cup</t>
  </si>
  <si>
    <t>Gitti</t>
  </si>
  <si>
    <t>Yugesh/Sarvesh</t>
  </si>
  <si>
    <t>Total Area</t>
  </si>
  <si>
    <t>Khajoor Bari Area</t>
  </si>
  <si>
    <t>Chargachhiya Area</t>
  </si>
  <si>
    <t>Unit Area Expenses</t>
  </si>
  <si>
    <t>Total Expenses in Khajoor Baari</t>
  </si>
  <si>
    <t>Total Expenses in Chargachhiya</t>
  </si>
  <si>
    <t>Contractor</t>
  </si>
  <si>
    <t>Bhaiya</t>
  </si>
  <si>
    <t>Chargachhiya (Aprox)</t>
  </si>
  <si>
    <t>Articles</t>
  </si>
  <si>
    <t>Jangal Safayee</t>
  </si>
  <si>
    <t>Piller Ka Gaddha</t>
  </si>
  <si>
    <t>Hardware, Tin etc</t>
  </si>
  <si>
    <t>Gaachh Katayee</t>
  </si>
  <si>
    <t>Expense</t>
  </si>
  <si>
    <t>Contarctor Cost</t>
  </si>
  <si>
    <t>Vedananad</t>
  </si>
  <si>
    <t>Gate Fixing</t>
  </si>
  <si>
    <t>Kal Baari</t>
  </si>
  <si>
    <t>Pachwariya Kalam</t>
  </si>
  <si>
    <t>Gitti (Patla)</t>
  </si>
  <si>
    <t>4 Bundle (8mm) rod</t>
  </si>
  <si>
    <t>5 Kg taar</t>
  </si>
  <si>
    <t>Cement (20)</t>
  </si>
  <si>
    <t>Baalu (1 Tailer)</t>
  </si>
  <si>
    <t>Gate Making</t>
  </si>
  <si>
    <t>Gate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</si>
</sst>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\ #,##0.00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4" fontId="0" fillId="0" borderId="0" xfId="0" applyNumberFormat="1"/>
    <xf numFmtId="0" fontId="1" fillId="2" borderId="0" xfId="0" applyFont="1" applyFill="1"/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3" fillId="0" borderId="0" xfId="0" applyNumberFormat="1" applyFont="1"/>
    <xf numFmtId="164" fontId="4" fillId="2" borderId="0" xfId="0" applyNumberFormat="1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" fillId="4" borderId="0" xfId="0" applyFont="1" applyFill="1"/>
    <xf numFmtId="165" fontId="0" fillId="0" borderId="0" xfId="0" applyNumberFormat="1"/>
    <xf numFmtId="0" fontId="1" fillId="5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15" sqref="C15"/>
    </sheetView>
  </sheetViews>
  <sheetFormatPr defaultRowHeight="15" x14ac:dyDescent="0.25"/>
  <cols>
    <col min="1" max="1" width="19.28515625" bestFit="1" customWidth="1"/>
    <col min="2" max="2" width="15.5703125" bestFit="1" customWidth="1"/>
    <col min="3" max="3" width="13.28515625" customWidth="1"/>
    <col min="4" max="4" width="11" bestFit="1" customWidth="1"/>
  </cols>
  <sheetData>
    <row r="1" spans="1:5" x14ac:dyDescent="0.25">
      <c r="A1" s="1" t="s">
        <v>17</v>
      </c>
      <c r="B1" s="3">
        <v>30000000</v>
      </c>
    </row>
    <row r="2" spans="1:5" x14ac:dyDescent="0.25">
      <c r="A2" s="1" t="s">
        <v>8</v>
      </c>
      <c r="B2" s="3">
        <f>SUM(C5:C17)</f>
        <v>30000000</v>
      </c>
      <c r="C2" s="1"/>
      <c r="D2" s="3"/>
    </row>
    <row r="3" spans="1:5" x14ac:dyDescent="0.25">
      <c r="A3" s="1"/>
      <c r="B3" s="3"/>
      <c r="C3" s="1"/>
      <c r="D3" s="3"/>
    </row>
    <row r="4" spans="1:5" x14ac:dyDescent="0.25">
      <c r="A4" s="1" t="s">
        <v>23</v>
      </c>
      <c r="B4" s="1" t="s">
        <v>20</v>
      </c>
      <c r="C4" s="1" t="s">
        <v>0</v>
      </c>
      <c r="D4" s="1" t="s">
        <v>2</v>
      </c>
      <c r="E4" s="1" t="s">
        <v>21</v>
      </c>
    </row>
    <row r="5" spans="1:5" x14ac:dyDescent="0.25">
      <c r="A5" t="s">
        <v>19</v>
      </c>
      <c r="B5" t="s">
        <v>1</v>
      </c>
      <c r="C5" s="2">
        <v>2500000</v>
      </c>
      <c r="D5" t="s">
        <v>4</v>
      </c>
      <c r="E5">
        <v>1</v>
      </c>
    </row>
    <row r="6" spans="1:5" x14ac:dyDescent="0.25">
      <c r="A6" t="s">
        <v>3</v>
      </c>
      <c r="B6" t="s">
        <v>1</v>
      </c>
      <c r="C6" s="2">
        <v>2500000</v>
      </c>
      <c r="D6" t="s">
        <v>4</v>
      </c>
      <c r="E6">
        <v>1</v>
      </c>
    </row>
    <row r="7" spans="1:5" x14ac:dyDescent="0.25">
      <c r="A7" t="s">
        <v>19</v>
      </c>
      <c r="B7" t="s">
        <v>6</v>
      </c>
      <c r="C7" s="2">
        <v>2000000</v>
      </c>
      <c r="D7" t="s">
        <v>7</v>
      </c>
      <c r="E7">
        <v>1</v>
      </c>
    </row>
    <row r="8" spans="1:5" x14ac:dyDescent="0.25">
      <c r="A8" t="s">
        <v>3</v>
      </c>
      <c r="B8" t="s">
        <v>6</v>
      </c>
      <c r="C8" s="2">
        <v>2000000</v>
      </c>
      <c r="D8" t="s">
        <v>4</v>
      </c>
      <c r="E8">
        <v>1</v>
      </c>
    </row>
    <row r="9" spans="1:5" x14ac:dyDescent="0.25">
      <c r="A9" t="s">
        <v>5</v>
      </c>
      <c r="B9" t="s">
        <v>6</v>
      </c>
      <c r="C9" s="2">
        <v>2000000</v>
      </c>
      <c r="D9" t="s">
        <v>4</v>
      </c>
      <c r="E9">
        <v>1</v>
      </c>
    </row>
    <row r="10" spans="1:5" x14ac:dyDescent="0.25">
      <c r="A10" t="s">
        <v>9</v>
      </c>
      <c r="B10" t="s">
        <v>10</v>
      </c>
      <c r="C10" s="2">
        <v>3000000</v>
      </c>
      <c r="D10" t="s">
        <v>7</v>
      </c>
      <c r="E10">
        <v>1</v>
      </c>
    </row>
    <row r="11" spans="1:5" x14ac:dyDescent="0.25">
      <c r="A11" t="s">
        <v>11</v>
      </c>
      <c r="B11" t="s">
        <v>12</v>
      </c>
      <c r="C11" s="2">
        <v>3000000</v>
      </c>
      <c r="D11" t="s">
        <v>7</v>
      </c>
      <c r="E11">
        <v>1</v>
      </c>
    </row>
    <row r="12" spans="1:5" x14ac:dyDescent="0.25">
      <c r="A12" t="s">
        <v>13</v>
      </c>
      <c r="B12" t="s">
        <v>14</v>
      </c>
      <c r="C12" s="2">
        <v>2000000</v>
      </c>
      <c r="D12" t="s">
        <v>7</v>
      </c>
      <c r="E12">
        <v>1</v>
      </c>
    </row>
    <row r="13" spans="1:5" x14ac:dyDescent="0.25">
      <c r="A13" t="s">
        <v>18</v>
      </c>
      <c r="B13" t="s">
        <v>15</v>
      </c>
      <c r="C13" s="2">
        <v>5000000</v>
      </c>
      <c r="D13" t="s">
        <v>7</v>
      </c>
      <c r="E13">
        <v>2</v>
      </c>
    </row>
    <row r="14" spans="1:5" x14ac:dyDescent="0.25">
      <c r="A14" t="s">
        <v>16</v>
      </c>
      <c r="B14" t="s">
        <v>6</v>
      </c>
      <c r="C14" s="2">
        <v>2000000</v>
      </c>
      <c r="D14" t="s">
        <v>7</v>
      </c>
      <c r="E14">
        <v>2</v>
      </c>
    </row>
    <row r="15" spans="1:5" x14ac:dyDescent="0.25">
      <c r="A15" t="s">
        <v>22</v>
      </c>
      <c r="B15" t="s">
        <v>10</v>
      </c>
      <c r="C15" s="2">
        <v>4000000</v>
      </c>
      <c r="D15" t="s">
        <v>7</v>
      </c>
      <c r="E15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selection activeCell="A6" sqref="A6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1.85546875" bestFit="1" customWidth="1"/>
    <col min="4" max="4" width="14.140625" bestFit="1" customWidth="1"/>
    <col min="6" max="6" width="14.28515625" bestFit="1" customWidth="1"/>
    <col min="8" max="9" width="12" bestFit="1" customWidth="1"/>
    <col min="10" max="10" width="14.140625" bestFit="1" customWidth="1"/>
  </cols>
  <sheetData>
    <row r="1" spans="1:10" x14ac:dyDescent="0.25">
      <c r="B1" s="1" t="s">
        <v>47</v>
      </c>
      <c r="C1" s="1" t="s">
        <v>48</v>
      </c>
      <c r="D1" s="1" t="s">
        <v>49</v>
      </c>
      <c r="H1" s="23" t="s">
        <v>26</v>
      </c>
      <c r="I1" s="23"/>
      <c r="J1" s="16"/>
    </row>
    <row r="2" spans="1:10" x14ac:dyDescent="0.25">
      <c r="A2" s="1" t="s">
        <v>52</v>
      </c>
      <c r="B2" s="1">
        <f>SUM(B4:B15)</f>
        <v>10000</v>
      </c>
      <c r="C2" s="3">
        <f>SUM(C4:C15)</f>
        <v>50000</v>
      </c>
      <c r="D2" s="1">
        <f>SUM(D4:D15)</f>
        <v>0</v>
      </c>
      <c r="F2" s="1" t="s">
        <v>51</v>
      </c>
      <c r="H2" s="13">
        <f>SUM(H4:H110)</f>
        <v>0</v>
      </c>
      <c r="I2" s="13">
        <f>SUM(I4:I110)</f>
        <v>0</v>
      </c>
      <c r="J2" s="13">
        <f>SUM(J4:J110)</f>
        <v>0</v>
      </c>
    </row>
    <row r="3" spans="1:10" x14ac:dyDescent="0.25">
      <c r="A3" s="1" t="s">
        <v>53</v>
      </c>
      <c r="B3">
        <f>B2-H2</f>
        <v>10000</v>
      </c>
      <c r="C3" s="2">
        <f t="shared" ref="C3:D3" si="0">C2-I2</f>
        <v>50000</v>
      </c>
      <c r="D3">
        <f t="shared" si="0"/>
        <v>0</v>
      </c>
      <c r="F3" s="22" t="s">
        <v>50</v>
      </c>
      <c r="G3" s="22"/>
      <c r="H3" s="14" t="s">
        <v>47</v>
      </c>
      <c r="I3" s="14" t="s">
        <v>48</v>
      </c>
      <c r="J3" s="14" t="s">
        <v>49</v>
      </c>
    </row>
    <row r="4" spans="1:10" x14ac:dyDescent="0.25">
      <c r="A4" s="15" t="s">
        <v>54</v>
      </c>
      <c r="C4" s="2">
        <v>50000</v>
      </c>
      <c r="F4" s="24"/>
      <c r="G4" s="24"/>
    </row>
    <row r="5" spans="1:10" x14ac:dyDescent="0.25">
      <c r="A5" s="15" t="s">
        <v>55</v>
      </c>
      <c r="B5" s="2">
        <v>10000</v>
      </c>
      <c r="F5" s="24"/>
      <c r="G5" s="24"/>
    </row>
    <row r="6" spans="1:10" x14ac:dyDescent="0.25">
      <c r="F6" s="24"/>
      <c r="G6" s="24"/>
    </row>
    <row r="7" spans="1:10" x14ac:dyDescent="0.25">
      <c r="F7" s="24"/>
      <c r="G7" s="24"/>
    </row>
    <row r="8" spans="1:10" x14ac:dyDescent="0.25">
      <c r="F8" s="24"/>
      <c r="G8" s="24"/>
    </row>
    <row r="9" spans="1:10" x14ac:dyDescent="0.25">
      <c r="F9" s="24"/>
      <c r="G9" s="24"/>
    </row>
    <row r="10" spans="1:10" x14ac:dyDescent="0.25">
      <c r="F10" s="24"/>
      <c r="G10" s="24"/>
    </row>
    <row r="11" spans="1:10" x14ac:dyDescent="0.25">
      <c r="F11" s="24"/>
      <c r="G11" s="24"/>
    </row>
    <row r="12" spans="1:10" x14ac:dyDescent="0.25">
      <c r="F12" s="24"/>
      <c r="G12" s="24"/>
    </row>
    <row r="13" spans="1:10" x14ac:dyDescent="0.25">
      <c r="F13" s="24"/>
      <c r="G13" s="24"/>
    </row>
    <row r="14" spans="1:10" x14ac:dyDescent="0.25">
      <c r="F14" s="24"/>
      <c r="G14" s="24"/>
    </row>
    <row r="15" spans="1:10" x14ac:dyDescent="0.25">
      <c r="F15" s="24"/>
      <c r="G15" s="24"/>
    </row>
    <row r="16" spans="1:10" x14ac:dyDescent="0.25">
      <c r="F16" s="24"/>
      <c r="G16" s="24"/>
    </row>
    <row r="17" spans="6:7" x14ac:dyDescent="0.25">
      <c r="F17" s="24"/>
      <c r="G17" s="24"/>
    </row>
    <row r="18" spans="6:7" x14ac:dyDescent="0.25">
      <c r="F18" s="24"/>
      <c r="G18" s="24"/>
    </row>
    <row r="19" spans="6:7" x14ac:dyDescent="0.25">
      <c r="F19" s="24"/>
      <c r="G19" s="24"/>
    </row>
    <row r="20" spans="6:7" x14ac:dyDescent="0.25">
      <c r="F20" s="24"/>
      <c r="G20" s="24"/>
    </row>
    <row r="21" spans="6:7" x14ac:dyDescent="0.25">
      <c r="F21" s="24"/>
      <c r="G21" s="24"/>
    </row>
    <row r="22" spans="6:7" x14ac:dyDescent="0.25">
      <c r="F22" s="24"/>
      <c r="G22" s="24"/>
    </row>
    <row r="23" spans="6:7" x14ac:dyDescent="0.25">
      <c r="F23" s="24"/>
      <c r="G23" s="24"/>
    </row>
    <row r="24" spans="6:7" x14ac:dyDescent="0.25">
      <c r="F24" s="24"/>
      <c r="G24" s="24"/>
    </row>
    <row r="25" spans="6:7" x14ac:dyDescent="0.25">
      <c r="F25" s="24"/>
      <c r="G25" s="24"/>
    </row>
    <row r="26" spans="6:7" x14ac:dyDescent="0.25">
      <c r="F26" s="24"/>
      <c r="G26" s="24"/>
    </row>
    <row r="27" spans="6:7" x14ac:dyDescent="0.25">
      <c r="F27" s="24"/>
      <c r="G27" s="24"/>
    </row>
    <row r="28" spans="6:7" x14ac:dyDescent="0.25">
      <c r="F28" s="24"/>
      <c r="G28" s="24"/>
    </row>
    <row r="29" spans="6:7" x14ac:dyDescent="0.25">
      <c r="F29" s="24"/>
      <c r="G29" s="24"/>
    </row>
    <row r="30" spans="6:7" x14ac:dyDescent="0.25">
      <c r="F30" s="24"/>
      <c r="G30" s="24"/>
    </row>
    <row r="31" spans="6:7" x14ac:dyDescent="0.25">
      <c r="F31" s="24"/>
      <c r="G31" s="24"/>
    </row>
    <row r="32" spans="6:7" x14ac:dyDescent="0.25">
      <c r="F32" s="24"/>
      <c r="G32" s="24"/>
    </row>
    <row r="33" spans="6:7" x14ac:dyDescent="0.25">
      <c r="F33" s="24"/>
      <c r="G33" s="24"/>
    </row>
    <row r="34" spans="6:7" x14ac:dyDescent="0.25">
      <c r="F34" s="24"/>
      <c r="G34" s="24"/>
    </row>
    <row r="35" spans="6:7" x14ac:dyDescent="0.25">
      <c r="F35" s="24"/>
      <c r="G35" s="24"/>
    </row>
    <row r="36" spans="6:7" x14ac:dyDescent="0.25">
      <c r="F36" s="24"/>
      <c r="G36" s="24"/>
    </row>
    <row r="37" spans="6:7" x14ac:dyDescent="0.25">
      <c r="F37" s="24"/>
      <c r="G37" s="24"/>
    </row>
    <row r="38" spans="6:7" x14ac:dyDescent="0.25">
      <c r="F38" s="24"/>
      <c r="G38" s="24"/>
    </row>
    <row r="39" spans="6:7" x14ac:dyDescent="0.25">
      <c r="F39" s="24"/>
      <c r="G39" s="24"/>
    </row>
    <row r="40" spans="6:7" x14ac:dyDescent="0.25">
      <c r="F40" s="24"/>
      <c r="G40" s="24"/>
    </row>
    <row r="41" spans="6:7" x14ac:dyDescent="0.25">
      <c r="F41" s="24"/>
      <c r="G41" s="24"/>
    </row>
    <row r="42" spans="6:7" x14ac:dyDescent="0.25">
      <c r="F42" s="24"/>
      <c r="G42" s="24"/>
    </row>
    <row r="43" spans="6:7" x14ac:dyDescent="0.25">
      <c r="F43" s="24"/>
      <c r="G43" s="24"/>
    </row>
    <row r="44" spans="6:7" x14ac:dyDescent="0.25">
      <c r="F44" s="24"/>
      <c r="G44" s="24"/>
    </row>
    <row r="45" spans="6:7" x14ac:dyDescent="0.25">
      <c r="F45" s="24"/>
      <c r="G45" s="24"/>
    </row>
    <row r="46" spans="6:7" x14ac:dyDescent="0.25">
      <c r="F46" s="24"/>
      <c r="G46" s="24"/>
    </row>
    <row r="47" spans="6:7" x14ac:dyDescent="0.25">
      <c r="F47" s="24"/>
      <c r="G47" s="24"/>
    </row>
    <row r="48" spans="6:7" x14ac:dyDescent="0.25">
      <c r="F48" s="24"/>
      <c r="G48" s="24"/>
    </row>
    <row r="49" spans="6:7" x14ac:dyDescent="0.25">
      <c r="F49" s="24"/>
      <c r="G49" s="24"/>
    </row>
    <row r="50" spans="6:7" x14ac:dyDescent="0.25">
      <c r="F50" s="24"/>
      <c r="G50" s="24"/>
    </row>
    <row r="51" spans="6:7" x14ac:dyDescent="0.25">
      <c r="F51" s="24"/>
      <c r="G51" s="24"/>
    </row>
    <row r="52" spans="6:7" x14ac:dyDescent="0.25">
      <c r="F52" s="24"/>
      <c r="G52" s="24"/>
    </row>
    <row r="53" spans="6:7" x14ac:dyDescent="0.25">
      <c r="F53" s="24"/>
      <c r="G53" s="24"/>
    </row>
    <row r="54" spans="6:7" x14ac:dyDescent="0.25">
      <c r="F54" s="24"/>
      <c r="G54" s="24"/>
    </row>
    <row r="55" spans="6:7" x14ac:dyDescent="0.25">
      <c r="F55" s="24"/>
      <c r="G55" s="24"/>
    </row>
    <row r="56" spans="6:7" x14ac:dyDescent="0.25">
      <c r="F56" s="24"/>
      <c r="G56" s="24"/>
    </row>
    <row r="57" spans="6:7" x14ac:dyDescent="0.25">
      <c r="F57" s="24"/>
      <c r="G57" s="24"/>
    </row>
    <row r="58" spans="6:7" x14ac:dyDescent="0.25">
      <c r="F58" s="24"/>
      <c r="G58" s="24"/>
    </row>
    <row r="59" spans="6:7" x14ac:dyDescent="0.25">
      <c r="F59" s="24"/>
      <c r="G59" s="24"/>
    </row>
    <row r="60" spans="6:7" x14ac:dyDescent="0.25">
      <c r="F60" s="24"/>
      <c r="G60" s="24"/>
    </row>
    <row r="61" spans="6:7" x14ac:dyDescent="0.25">
      <c r="F61" s="24"/>
      <c r="G61" s="24"/>
    </row>
    <row r="62" spans="6:7" x14ac:dyDescent="0.25">
      <c r="F62" s="24"/>
      <c r="G62" s="24"/>
    </row>
    <row r="63" spans="6:7" x14ac:dyDescent="0.25">
      <c r="F63" s="24"/>
      <c r="G63" s="24"/>
    </row>
    <row r="64" spans="6:7" x14ac:dyDescent="0.25">
      <c r="F64" s="24"/>
      <c r="G64" s="24"/>
    </row>
    <row r="65" spans="6:7" x14ac:dyDescent="0.25">
      <c r="F65" s="24"/>
      <c r="G65" s="24"/>
    </row>
    <row r="66" spans="6:7" x14ac:dyDescent="0.25">
      <c r="F66" s="24"/>
      <c r="G66" s="24"/>
    </row>
    <row r="67" spans="6:7" x14ac:dyDescent="0.25">
      <c r="F67" s="24"/>
      <c r="G67" s="24"/>
    </row>
    <row r="68" spans="6:7" x14ac:dyDescent="0.25">
      <c r="F68" s="24"/>
      <c r="G68" s="24"/>
    </row>
    <row r="69" spans="6:7" x14ac:dyDescent="0.25">
      <c r="F69" s="24"/>
      <c r="G69" s="24"/>
    </row>
    <row r="70" spans="6:7" x14ac:dyDescent="0.25">
      <c r="F70" s="24"/>
      <c r="G70" s="24"/>
    </row>
    <row r="71" spans="6:7" x14ac:dyDescent="0.25">
      <c r="F71" s="24"/>
      <c r="G71" s="24"/>
    </row>
    <row r="72" spans="6:7" x14ac:dyDescent="0.25">
      <c r="F72" s="24"/>
      <c r="G72" s="24"/>
    </row>
    <row r="73" spans="6:7" x14ac:dyDescent="0.25">
      <c r="F73" s="24"/>
      <c r="G73" s="24"/>
    </row>
    <row r="74" spans="6:7" x14ac:dyDescent="0.25">
      <c r="F74" s="24"/>
      <c r="G74" s="24"/>
    </row>
    <row r="75" spans="6:7" x14ac:dyDescent="0.25">
      <c r="F75" s="24"/>
      <c r="G75" s="24"/>
    </row>
    <row r="76" spans="6:7" x14ac:dyDescent="0.25">
      <c r="F76" s="24"/>
      <c r="G76" s="24"/>
    </row>
    <row r="77" spans="6:7" x14ac:dyDescent="0.25">
      <c r="F77" s="24"/>
      <c r="G77" s="24"/>
    </row>
    <row r="78" spans="6:7" x14ac:dyDescent="0.25">
      <c r="F78" s="24"/>
      <c r="G78" s="24"/>
    </row>
    <row r="79" spans="6:7" x14ac:dyDescent="0.25">
      <c r="F79" s="24"/>
      <c r="G79" s="24"/>
    </row>
    <row r="80" spans="6:7" x14ac:dyDescent="0.25">
      <c r="F80" s="24"/>
      <c r="G80" s="24"/>
    </row>
    <row r="81" spans="6:7" x14ac:dyDescent="0.25">
      <c r="F81" s="24"/>
      <c r="G81" s="24"/>
    </row>
    <row r="82" spans="6:7" x14ac:dyDescent="0.25">
      <c r="F82" s="24"/>
      <c r="G82" s="24"/>
    </row>
    <row r="83" spans="6:7" x14ac:dyDescent="0.25">
      <c r="F83" s="24"/>
      <c r="G83" s="24"/>
    </row>
    <row r="84" spans="6:7" x14ac:dyDescent="0.25">
      <c r="F84" s="24"/>
      <c r="G84" s="24"/>
    </row>
    <row r="85" spans="6:7" x14ac:dyDescent="0.25">
      <c r="F85" s="24"/>
      <c r="G85" s="24"/>
    </row>
    <row r="86" spans="6:7" x14ac:dyDescent="0.25">
      <c r="F86" s="24"/>
      <c r="G86" s="24"/>
    </row>
    <row r="87" spans="6:7" x14ac:dyDescent="0.25">
      <c r="F87" s="24"/>
      <c r="G87" s="24"/>
    </row>
    <row r="88" spans="6:7" x14ac:dyDescent="0.25">
      <c r="F88" s="24"/>
      <c r="G88" s="24"/>
    </row>
    <row r="89" spans="6:7" x14ac:dyDescent="0.25">
      <c r="F89" s="24"/>
      <c r="G89" s="24"/>
    </row>
    <row r="90" spans="6:7" x14ac:dyDescent="0.25">
      <c r="F90" s="24"/>
      <c r="G90" s="24"/>
    </row>
    <row r="91" spans="6:7" x14ac:dyDescent="0.25">
      <c r="F91" s="24"/>
      <c r="G91" s="24"/>
    </row>
    <row r="92" spans="6:7" x14ac:dyDescent="0.25">
      <c r="F92" s="24"/>
      <c r="G92" s="24"/>
    </row>
    <row r="93" spans="6:7" x14ac:dyDescent="0.25">
      <c r="F93" s="24"/>
      <c r="G93" s="24"/>
    </row>
    <row r="94" spans="6:7" x14ac:dyDescent="0.25">
      <c r="F94" s="24"/>
      <c r="G94" s="24"/>
    </row>
    <row r="95" spans="6:7" x14ac:dyDescent="0.25">
      <c r="F95" s="24"/>
      <c r="G95" s="24"/>
    </row>
    <row r="96" spans="6:7" x14ac:dyDescent="0.25">
      <c r="F96" s="24"/>
      <c r="G96" s="24"/>
    </row>
    <row r="97" spans="6:7" x14ac:dyDescent="0.25">
      <c r="F97" s="24"/>
      <c r="G97" s="24"/>
    </row>
    <row r="98" spans="6:7" x14ac:dyDescent="0.25">
      <c r="F98" s="24"/>
      <c r="G98" s="24"/>
    </row>
    <row r="99" spans="6:7" x14ac:dyDescent="0.25">
      <c r="F99" s="24"/>
      <c r="G99" s="24"/>
    </row>
    <row r="100" spans="6:7" x14ac:dyDescent="0.25">
      <c r="F100" s="24"/>
      <c r="G100" s="24"/>
    </row>
    <row r="101" spans="6:7" x14ac:dyDescent="0.25">
      <c r="F101" s="24"/>
      <c r="G101" s="24"/>
    </row>
    <row r="102" spans="6:7" x14ac:dyDescent="0.25">
      <c r="F102" s="24"/>
      <c r="G102" s="24"/>
    </row>
    <row r="103" spans="6:7" x14ac:dyDescent="0.25">
      <c r="F103" s="24"/>
      <c r="G103" s="24"/>
    </row>
    <row r="104" spans="6:7" x14ac:dyDescent="0.25">
      <c r="F104" s="24"/>
      <c r="G104" s="24"/>
    </row>
    <row r="105" spans="6:7" x14ac:dyDescent="0.25">
      <c r="F105" s="24"/>
      <c r="G105" s="24"/>
    </row>
    <row r="106" spans="6:7" x14ac:dyDescent="0.25">
      <c r="F106" s="24"/>
      <c r="G106" s="24"/>
    </row>
    <row r="107" spans="6:7" x14ac:dyDescent="0.25">
      <c r="F107" s="24"/>
      <c r="G107" s="24"/>
    </row>
    <row r="108" spans="6:7" x14ac:dyDescent="0.25">
      <c r="F108" s="24"/>
      <c r="G108" s="24"/>
    </row>
    <row r="109" spans="6:7" x14ac:dyDescent="0.25">
      <c r="F109" s="24"/>
      <c r="G109" s="24"/>
    </row>
  </sheetData>
  <mergeCells count="108">
    <mergeCell ref="F107:G107"/>
    <mergeCell ref="F108:G108"/>
    <mergeCell ref="F109:G109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71:G71"/>
    <mergeCell ref="F72:G72"/>
    <mergeCell ref="F73:G73"/>
    <mergeCell ref="F74:G74"/>
    <mergeCell ref="F75:G75"/>
    <mergeCell ref="F76:G76"/>
    <mergeCell ref="F65:G65"/>
    <mergeCell ref="F66:G66"/>
    <mergeCell ref="F67:G67"/>
    <mergeCell ref="F68:G68"/>
    <mergeCell ref="F69:G69"/>
    <mergeCell ref="F70:G70"/>
    <mergeCell ref="F59:G59"/>
    <mergeCell ref="F60:G60"/>
    <mergeCell ref="F61:G61"/>
    <mergeCell ref="F62:G62"/>
    <mergeCell ref="F63:G63"/>
    <mergeCell ref="F64:G64"/>
    <mergeCell ref="F53:G53"/>
    <mergeCell ref="F54:G54"/>
    <mergeCell ref="F55:G55"/>
    <mergeCell ref="F56:G56"/>
    <mergeCell ref="F57:G57"/>
    <mergeCell ref="F58:G58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3:G3"/>
    <mergeCell ref="H1:I1"/>
    <mergeCell ref="F11:G11"/>
    <mergeCell ref="F12:G12"/>
    <mergeCell ref="F13:G13"/>
    <mergeCell ref="F14:G14"/>
    <mergeCell ref="F15:G15"/>
    <mergeCell ref="F16:G16"/>
    <mergeCell ref="F4:G4"/>
    <mergeCell ref="F5:G5"/>
    <mergeCell ref="F6:G6"/>
    <mergeCell ref="F7:G7"/>
    <mergeCell ref="F8:G8"/>
    <mergeCell ref="F9:G9"/>
    <mergeCell ref="F10:G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pane ySplit="3" topLeftCell="A58" activePane="bottomLeft" state="frozen"/>
      <selection pane="bottomLeft" activeCell="C1" sqref="C1:E1"/>
    </sheetView>
  </sheetViews>
  <sheetFormatPr defaultRowHeight="15" x14ac:dyDescent="0.25"/>
  <cols>
    <col min="1" max="1" width="10.42578125" bestFit="1" customWidth="1"/>
    <col min="2" max="2" width="15.7109375" style="10" bestFit="1" customWidth="1"/>
    <col min="3" max="4" width="17" bestFit="1" customWidth="1"/>
    <col min="5" max="5" width="15.28515625" bestFit="1" customWidth="1"/>
    <col min="6" max="6" width="16.28515625" bestFit="1" customWidth="1"/>
    <col min="7" max="8" width="20.28515625" bestFit="1" customWidth="1"/>
    <col min="9" max="9" width="20.140625" bestFit="1" customWidth="1"/>
    <col min="10" max="10" width="17.5703125" customWidth="1"/>
    <col min="11" max="11" width="16.42578125" bestFit="1" customWidth="1"/>
    <col min="12" max="12" width="10" bestFit="1" customWidth="1"/>
  </cols>
  <sheetData>
    <row r="1" spans="1:12" x14ac:dyDescent="0.25">
      <c r="C1" s="25" t="s">
        <v>26</v>
      </c>
      <c r="D1" s="25"/>
      <c r="E1" s="25"/>
      <c r="F1" s="19"/>
    </row>
    <row r="2" spans="1:12" ht="15.75" x14ac:dyDescent="0.25">
      <c r="A2" s="1"/>
      <c r="B2" s="11"/>
      <c r="C2" s="6" t="s">
        <v>28</v>
      </c>
      <c r="D2" s="6" t="s">
        <v>13</v>
      </c>
      <c r="E2" s="6" t="s">
        <v>60</v>
      </c>
      <c r="F2" s="6" t="s">
        <v>77</v>
      </c>
      <c r="G2" s="7" t="s">
        <v>42</v>
      </c>
      <c r="H2" s="6" t="s">
        <v>44</v>
      </c>
      <c r="I2" s="6" t="s">
        <v>51</v>
      </c>
      <c r="J2" s="6" t="s">
        <v>63</v>
      </c>
      <c r="K2" s="6" t="s">
        <v>62</v>
      </c>
      <c r="L2" s="6" t="s">
        <v>61</v>
      </c>
    </row>
    <row r="3" spans="1:12" ht="23.25" x14ac:dyDescent="0.35">
      <c r="A3" s="5" t="s">
        <v>24</v>
      </c>
      <c r="B3" s="12" t="s">
        <v>25</v>
      </c>
      <c r="C3" s="9">
        <f>SUM(C4:C105)</f>
        <v>503560</v>
      </c>
      <c r="D3" s="9">
        <f>SUM(D4:D105)</f>
        <v>235150</v>
      </c>
      <c r="E3" s="9">
        <f>SUM(E4:E105)</f>
        <v>10180</v>
      </c>
      <c r="F3" s="9">
        <f>SUM(F4:F105)</f>
        <v>140000</v>
      </c>
      <c r="G3" s="8">
        <f>SUM(C3:F3)</f>
        <v>888890</v>
      </c>
      <c r="H3" s="8"/>
      <c r="I3" s="17">
        <f>SUM(G3:H3)</f>
        <v>888890</v>
      </c>
      <c r="J3">
        <v>3510</v>
      </c>
      <c r="K3">
        <v>1522</v>
      </c>
      <c r="L3">
        <v>5032</v>
      </c>
    </row>
    <row r="4" spans="1:12" x14ac:dyDescent="0.25">
      <c r="A4" s="4">
        <v>45693</v>
      </c>
      <c r="B4" s="10" t="s">
        <v>27</v>
      </c>
      <c r="C4">
        <v>50</v>
      </c>
      <c r="I4" s="10" t="s">
        <v>64</v>
      </c>
      <c r="J4" s="17">
        <f>I3/L3</f>
        <v>176.64745627980923</v>
      </c>
    </row>
    <row r="5" spans="1:12" ht="30" x14ac:dyDescent="0.25">
      <c r="A5" s="4">
        <v>45693</v>
      </c>
      <c r="B5" s="10" t="s">
        <v>29</v>
      </c>
      <c r="D5">
        <v>1030</v>
      </c>
      <c r="I5" s="18" t="s">
        <v>65</v>
      </c>
      <c r="J5" s="17">
        <f>K3*J4</f>
        <v>268857.42845786968</v>
      </c>
    </row>
    <row r="6" spans="1:12" ht="30" x14ac:dyDescent="0.25">
      <c r="A6" s="4">
        <v>45693</v>
      </c>
      <c r="B6" s="10" t="s">
        <v>30</v>
      </c>
      <c r="C6" s="2">
        <v>17600</v>
      </c>
      <c r="I6" s="18" t="s">
        <v>66</v>
      </c>
      <c r="J6" s="17">
        <f>J4*J3</f>
        <v>620032.57154213043</v>
      </c>
    </row>
    <row r="7" spans="1:12" x14ac:dyDescent="0.25">
      <c r="A7" s="4">
        <v>45693</v>
      </c>
      <c r="B7" s="10" t="s">
        <v>31</v>
      </c>
      <c r="D7" s="2">
        <v>10000</v>
      </c>
      <c r="I7" s="2"/>
    </row>
    <row r="8" spans="1:12" x14ac:dyDescent="0.25">
      <c r="I8" t="s">
        <v>69</v>
      </c>
    </row>
    <row r="9" spans="1:12" x14ac:dyDescent="0.25">
      <c r="A9" s="4">
        <v>45694</v>
      </c>
      <c r="B9" s="10" t="s">
        <v>32</v>
      </c>
      <c r="D9" s="2">
        <v>38400</v>
      </c>
      <c r="I9" t="s">
        <v>28</v>
      </c>
      <c r="J9">
        <v>1000</v>
      </c>
      <c r="K9" s="17">
        <f>J9*J4</f>
        <v>176647.45627980924</v>
      </c>
    </row>
    <row r="10" spans="1:12" x14ac:dyDescent="0.25">
      <c r="A10" s="4">
        <v>45694</v>
      </c>
      <c r="B10" s="10" t="s">
        <v>33</v>
      </c>
      <c r="C10" s="2">
        <v>12700</v>
      </c>
      <c r="I10" t="s">
        <v>68</v>
      </c>
      <c r="J10">
        <v>2510</v>
      </c>
      <c r="K10" s="17">
        <f>J10*J4</f>
        <v>443385.1152623212</v>
      </c>
    </row>
    <row r="11" spans="1:12" x14ac:dyDescent="0.25">
      <c r="A11" s="4">
        <v>45694</v>
      </c>
      <c r="B11" s="10" t="s">
        <v>34</v>
      </c>
      <c r="D11" s="2">
        <v>600</v>
      </c>
    </row>
    <row r="12" spans="1:12" x14ac:dyDescent="0.25">
      <c r="A12" s="4">
        <v>45694</v>
      </c>
      <c r="B12" s="10" t="s">
        <v>35</v>
      </c>
      <c r="D12" s="2">
        <v>6000</v>
      </c>
    </row>
    <row r="13" spans="1:12" x14ac:dyDescent="0.25">
      <c r="D13" s="2"/>
    </row>
    <row r="14" spans="1:12" x14ac:dyDescent="0.25">
      <c r="A14" s="4">
        <v>45695</v>
      </c>
      <c r="B14" s="10" t="s">
        <v>36</v>
      </c>
      <c r="E14" s="2">
        <v>60</v>
      </c>
      <c r="F14" s="2"/>
    </row>
    <row r="15" spans="1:12" x14ac:dyDescent="0.25">
      <c r="A15" s="4">
        <v>45695</v>
      </c>
      <c r="B15" s="10" t="s">
        <v>37</v>
      </c>
      <c r="E15" s="2">
        <v>60</v>
      </c>
      <c r="F15" s="2"/>
    </row>
    <row r="16" spans="1:12" x14ac:dyDescent="0.25">
      <c r="A16" s="4">
        <v>45695</v>
      </c>
      <c r="B16" s="10" t="s">
        <v>38</v>
      </c>
      <c r="C16" s="2">
        <v>17700</v>
      </c>
    </row>
    <row r="17" spans="1:4" x14ac:dyDescent="0.25">
      <c r="A17" s="4">
        <v>45695</v>
      </c>
      <c r="B17" s="10" t="s">
        <v>33</v>
      </c>
      <c r="C17" s="2">
        <v>12700</v>
      </c>
    </row>
    <row r="18" spans="1:4" x14ac:dyDescent="0.25">
      <c r="A18" s="4">
        <v>45695</v>
      </c>
      <c r="B18" s="10" t="s">
        <v>43</v>
      </c>
      <c r="C18" s="2">
        <v>31760</v>
      </c>
    </row>
    <row r="19" spans="1:4" x14ac:dyDescent="0.25">
      <c r="C19" s="2"/>
    </row>
    <row r="20" spans="1:4" x14ac:dyDescent="0.25">
      <c r="A20" s="4">
        <v>45696</v>
      </c>
      <c r="B20" s="10" t="s">
        <v>38</v>
      </c>
      <c r="C20" s="2">
        <v>17700</v>
      </c>
    </row>
    <row r="21" spans="1:4" x14ac:dyDescent="0.25">
      <c r="A21" s="4">
        <v>45696</v>
      </c>
      <c r="B21" s="10" t="s">
        <v>38</v>
      </c>
      <c r="C21" s="2">
        <v>17700</v>
      </c>
    </row>
    <row r="22" spans="1:4" x14ac:dyDescent="0.25">
      <c r="A22" s="4">
        <v>45696</v>
      </c>
      <c r="B22" s="10" t="s">
        <v>31</v>
      </c>
      <c r="D22" s="2">
        <v>10000</v>
      </c>
    </row>
    <row r="23" spans="1:4" x14ac:dyDescent="0.25">
      <c r="A23" s="4">
        <v>45696</v>
      </c>
      <c r="B23" s="10" t="s">
        <v>39</v>
      </c>
      <c r="D23" s="2">
        <v>320</v>
      </c>
    </row>
    <row r="24" spans="1:4" x14ac:dyDescent="0.25">
      <c r="D24" s="2"/>
    </row>
    <row r="25" spans="1:4" x14ac:dyDescent="0.25">
      <c r="A25" s="4">
        <v>45697</v>
      </c>
      <c r="B25" s="10" t="s">
        <v>40</v>
      </c>
      <c r="C25" s="2">
        <v>14400</v>
      </c>
    </row>
    <row r="27" spans="1:4" x14ac:dyDescent="0.25">
      <c r="A27" s="4">
        <v>45698</v>
      </c>
      <c r="B27" s="10" t="s">
        <v>33</v>
      </c>
      <c r="C27" s="2">
        <v>25400</v>
      </c>
    </row>
    <row r="28" spans="1:4" x14ac:dyDescent="0.25">
      <c r="A28" s="4">
        <v>45698</v>
      </c>
      <c r="B28" s="10" t="s">
        <v>31</v>
      </c>
      <c r="C28" s="2">
        <v>10000</v>
      </c>
    </row>
    <row r="30" spans="1:4" x14ac:dyDescent="0.25">
      <c r="A30" s="4">
        <v>45699</v>
      </c>
      <c r="B30" s="10" t="s">
        <v>33</v>
      </c>
      <c r="D30" s="2">
        <v>25400</v>
      </c>
    </row>
    <row r="32" spans="1:4" x14ac:dyDescent="0.25">
      <c r="A32" s="4">
        <v>45700</v>
      </c>
      <c r="B32" s="10" t="s">
        <v>31</v>
      </c>
      <c r="D32" s="2">
        <v>20000</v>
      </c>
    </row>
    <row r="33" spans="1:4" x14ac:dyDescent="0.25">
      <c r="A33" s="4">
        <v>45700</v>
      </c>
      <c r="B33" s="10" t="s">
        <v>38</v>
      </c>
      <c r="C33" s="2">
        <v>42000</v>
      </c>
    </row>
    <row r="35" spans="1:4" x14ac:dyDescent="0.25">
      <c r="A35" s="4">
        <v>45701</v>
      </c>
      <c r="B35" s="10" t="s">
        <v>33</v>
      </c>
      <c r="D35" s="2">
        <v>12700</v>
      </c>
    </row>
    <row r="36" spans="1:4" x14ac:dyDescent="0.25">
      <c r="A36" s="4">
        <v>45701</v>
      </c>
      <c r="B36" s="10" t="s">
        <v>41</v>
      </c>
      <c r="D36" s="2">
        <v>2000</v>
      </c>
    </row>
    <row r="37" spans="1:4" x14ac:dyDescent="0.25">
      <c r="A37" s="4">
        <v>45701</v>
      </c>
      <c r="B37" s="10" t="s">
        <v>43</v>
      </c>
      <c r="C37" s="2">
        <v>50000</v>
      </c>
    </row>
    <row r="39" spans="1:4" x14ac:dyDescent="0.25">
      <c r="A39" s="4">
        <v>45702</v>
      </c>
      <c r="B39" s="10" t="s">
        <v>32</v>
      </c>
      <c r="D39" s="2">
        <v>15000</v>
      </c>
    </row>
    <row r="40" spans="1:4" x14ac:dyDescent="0.25">
      <c r="A40" s="4">
        <v>45702</v>
      </c>
      <c r="B40" s="10" t="s">
        <v>33</v>
      </c>
      <c r="D40" s="2">
        <v>12700</v>
      </c>
    </row>
    <row r="41" spans="1:4" x14ac:dyDescent="0.25">
      <c r="A41" s="4">
        <v>45702</v>
      </c>
      <c r="B41" s="10" t="s">
        <v>41</v>
      </c>
      <c r="D41" s="2">
        <v>1000</v>
      </c>
    </row>
    <row r="43" spans="1:4" x14ac:dyDescent="0.25">
      <c r="A43" s="4">
        <v>45703</v>
      </c>
      <c r="B43" s="10" t="s">
        <v>45</v>
      </c>
      <c r="C43" s="2">
        <v>25600</v>
      </c>
    </row>
    <row r="44" spans="1:4" x14ac:dyDescent="0.25">
      <c r="A44" s="4"/>
      <c r="C44" s="2"/>
    </row>
    <row r="45" spans="1:4" x14ac:dyDescent="0.25">
      <c r="A45" s="4">
        <v>45704</v>
      </c>
      <c r="B45" s="10" t="s">
        <v>46</v>
      </c>
      <c r="C45" s="2">
        <v>37000</v>
      </c>
    </row>
    <row r="46" spans="1:4" x14ac:dyDescent="0.25">
      <c r="A46" s="4">
        <v>45704</v>
      </c>
      <c r="B46" s="10" t="s">
        <v>31</v>
      </c>
      <c r="C46" s="2">
        <v>20000</v>
      </c>
    </row>
    <row r="48" spans="1:4" x14ac:dyDescent="0.25">
      <c r="A48" s="4">
        <v>45341</v>
      </c>
      <c r="B48" t="s">
        <v>33</v>
      </c>
      <c r="C48" s="2">
        <v>12700</v>
      </c>
    </row>
    <row r="49" spans="1:5" x14ac:dyDescent="0.25">
      <c r="A49" s="4">
        <v>45341</v>
      </c>
      <c r="B49" t="s">
        <v>56</v>
      </c>
      <c r="C49" s="2">
        <v>14000</v>
      </c>
    </row>
    <row r="50" spans="1:5" x14ac:dyDescent="0.25">
      <c r="A50" s="4">
        <v>45341</v>
      </c>
      <c r="B50" t="s">
        <v>32</v>
      </c>
      <c r="C50" s="2">
        <v>15400</v>
      </c>
    </row>
    <row r="52" spans="1:5" x14ac:dyDescent="0.25">
      <c r="A52" s="4">
        <v>45342</v>
      </c>
      <c r="B52" t="s">
        <v>57</v>
      </c>
      <c r="C52" s="2">
        <v>20000</v>
      </c>
    </row>
    <row r="53" spans="1:5" x14ac:dyDescent="0.25">
      <c r="A53" s="4"/>
      <c r="B53"/>
      <c r="C53" s="2"/>
    </row>
    <row r="54" spans="1:5" x14ac:dyDescent="0.25">
      <c r="A54" s="4">
        <v>45343</v>
      </c>
      <c r="B54" t="s">
        <v>33</v>
      </c>
      <c r="C54" s="2">
        <v>12700</v>
      </c>
    </row>
    <row r="55" spans="1:5" x14ac:dyDescent="0.25">
      <c r="A55" s="4">
        <v>45343</v>
      </c>
      <c r="B55" t="s">
        <v>32</v>
      </c>
      <c r="C55" s="2">
        <v>13250</v>
      </c>
    </row>
    <row r="56" spans="1:5" x14ac:dyDescent="0.25">
      <c r="A56" s="4">
        <v>45343</v>
      </c>
      <c r="B56" t="s">
        <v>58</v>
      </c>
      <c r="E56">
        <v>60</v>
      </c>
    </row>
    <row r="58" spans="1:5" x14ac:dyDescent="0.25">
      <c r="A58" s="4">
        <v>45344</v>
      </c>
      <c r="B58" t="s">
        <v>56</v>
      </c>
      <c r="D58" s="2">
        <v>7000</v>
      </c>
    </row>
    <row r="59" spans="1:5" x14ac:dyDescent="0.25">
      <c r="A59" s="4"/>
      <c r="B59"/>
      <c r="D59" s="2"/>
    </row>
    <row r="60" spans="1:5" x14ac:dyDescent="0.25">
      <c r="A60" s="4">
        <v>45345</v>
      </c>
      <c r="B60" t="s">
        <v>59</v>
      </c>
      <c r="C60" s="2">
        <v>10500</v>
      </c>
    </row>
    <row r="61" spans="1:5" x14ac:dyDescent="0.25">
      <c r="A61" s="4">
        <v>45345</v>
      </c>
      <c r="B61" t="s">
        <v>33</v>
      </c>
      <c r="C61" s="2">
        <v>12700</v>
      </c>
    </row>
    <row r="63" spans="1:5" x14ac:dyDescent="0.25">
      <c r="A63" s="4">
        <v>45346</v>
      </c>
      <c r="B63" t="s">
        <v>57</v>
      </c>
      <c r="C63" s="2">
        <v>20000</v>
      </c>
    </row>
    <row r="65" spans="1:6" x14ac:dyDescent="0.25">
      <c r="A65" s="4">
        <v>45350</v>
      </c>
      <c r="B65" t="s">
        <v>57</v>
      </c>
      <c r="E65" s="2">
        <v>10000</v>
      </c>
      <c r="F65" s="2"/>
    </row>
    <row r="67" spans="1:6" x14ac:dyDescent="0.25">
      <c r="A67" s="4">
        <v>45738</v>
      </c>
      <c r="B67" s="10" t="s">
        <v>67</v>
      </c>
      <c r="D67" s="2">
        <v>2000</v>
      </c>
    </row>
    <row r="68" spans="1:6" x14ac:dyDescent="0.25">
      <c r="A68" s="4">
        <v>45771</v>
      </c>
      <c r="B68" s="10" t="s">
        <v>67</v>
      </c>
      <c r="C68" s="2">
        <v>20000</v>
      </c>
    </row>
    <row r="69" spans="1:6" x14ac:dyDescent="0.25">
      <c r="A69" s="4">
        <v>45818</v>
      </c>
      <c r="B69" s="10" t="s">
        <v>67</v>
      </c>
      <c r="D69" s="2">
        <v>21000</v>
      </c>
    </row>
    <row r="70" spans="1:6" x14ac:dyDescent="0.25">
      <c r="B70" s="10" t="s">
        <v>67</v>
      </c>
      <c r="F70" s="2">
        <v>90000</v>
      </c>
    </row>
    <row r="71" spans="1:6" x14ac:dyDescent="0.25">
      <c r="B71" s="10" t="s">
        <v>78</v>
      </c>
      <c r="D71" s="2">
        <v>15000</v>
      </c>
    </row>
    <row r="72" spans="1:6" x14ac:dyDescent="0.25">
      <c r="B72" s="10" t="s">
        <v>86</v>
      </c>
      <c r="D72" s="2">
        <v>30000</v>
      </c>
      <c r="F72" s="2">
        <v>50000</v>
      </c>
    </row>
    <row r="73" spans="1:6" x14ac:dyDescent="0.25">
      <c r="B73" s="10" t="s">
        <v>87</v>
      </c>
      <c r="D73" s="2">
        <v>5000</v>
      </c>
    </row>
  </sheetData>
  <mergeCells count="1">
    <mergeCell ref="C1:E1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9" sqref="F9"/>
    </sheetView>
  </sheetViews>
  <sheetFormatPr defaultRowHeight="15" x14ac:dyDescent="0.25"/>
  <cols>
    <col min="1" max="1" width="16.5703125" bestFit="1" customWidth="1"/>
    <col min="2" max="3" width="14.28515625" bestFit="1" customWidth="1"/>
    <col min="5" max="5" width="18.7109375" bestFit="1" customWidth="1"/>
    <col min="6" max="6" width="8.42578125" bestFit="1" customWidth="1"/>
    <col min="7" max="7" width="14.28515625" bestFit="1" customWidth="1"/>
  </cols>
  <sheetData>
    <row r="1" spans="1:7" x14ac:dyDescent="0.25">
      <c r="A1" s="25" t="s">
        <v>79</v>
      </c>
      <c r="B1" s="25"/>
      <c r="C1" s="25"/>
      <c r="E1" s="26" t="s">
        <v>80</v>
      </c>
      <c r="F1" s="26"/>
      <c r="G1" s="26"/>
    </row>
    <row r="2" spans="1:7" x14ac:dyDescent="0.25">
      <c r="A2" s="21" t="s">
        <v>70</v>
      </c>
      <c r="B2" s="20" t="s">
        <v>75</v>
      </c>
      <c r="C2" s="20" t="s">
        <v>51</v>
      </c>
      <c r="E2" s="21" t="s">
        <v>70</v>
      </c>
      <c r="F2" s="20" t="s">
        <v>75</v>
      </c>
      <c r="G2" s="20" t="s">
        <v>51</v>
      </c>
    </row>
    <row r="3" spans="1:7" x14ac:dyDescent="0.25">
      <c r="A3" t="s">
        <v>71</v>
      </c>
      <c r="B3" s="2">
        <v>1500</v>
      </c>
      <c r="C3" s="2">
        <f>SUM(B3:B100)</f>
        <v>115315</v>
      </c>
      <c r="E3" t="s">
        <v>85</v>
      </c>
      <c r="F3">
        <v>8000</v>
      </c>
    </row>
    <row r="4" spans="1:7" x14ac:dyDescent="0.25">
      <c r="A4" t="s">
        <v>72</v>
      </c>
      <c r="B4" s="2">
        <v>1000</v>
      </c>
      <c r="E4" t="s">
        <v>81</v>
      </c>
      <c r="F4">
        <v>12000</v>
      </c>
    </row>
    <row r="5" spans="1:7" x14ac:dyDescent="0.25">
      <c r="A5" t="s">
        <v>73</v>
      </c>
      <c r="B5" s="2">
        <v>88315</v>
      </c>
      <c r="E5" t="s">
        <v>84</v>
      </c>
      <c r="F5">
        <v>8000</v>
      </c>
    </row>
    <row r="6" spans="1:7" x14ac:dyDescent="0.25">
      <c r="A6" t="s">
        <v>74</v>
      </c>
      <c r="B6" s="2">
        <v>5500</v>
      </c>
      <c r="E6" t="s">
        <v>82</v>
      </c>
      <c r="F6">
        <v>10000</v>
      </c>
    </row>
    <row r="7" spans="1:7" x14ac:dyDescent="0.25">
      <c r="A7" t="s">
        <v>76</v>
      </c>
      <c r="B7" s="2">
        <v>19000</v>
      </c>
      <c r="E7" t="s">
        <v>83</v>
      </c>
      <c r="F7">
        <v>500</v>
      </c>
    </row>
    <row r="8" spans="1:7" x14ac:dyDescent="0.25">
      <c r="F8">
        <f>SUM(F3:F7)</f>
        <v>38500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Planned</vt:lpstr>
      <vt:lpstr>Aapsi-Batwara</vt:lpstr>
      <vt:lpstr>Chargachhiya-Khajur-Boundry</vt:lpstr>
      <vt:lpstr>Kal Baari Gherai</vt:lpstr>
      <vt:lpstr>'Chargachhiya-Khajur-Boundry'!Print_Area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2025-11-19T06:12:15Z</dcterms:modified>
</cp:coreProperties>
</file>
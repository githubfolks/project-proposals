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53" firstSheet="4" activeTab="11"/>
  </bookViews>
  <sheets>
    <sheet name="Schedule-Grameen" sheetId="1" r:id="rId1"/>
    <sheet name="Schedule-Shahri" sheetId="6" r:id="rId2"/>
    <sheet name="Kewala Information" sheetId="2" state="hidden" r:id="rId3"/>
    <sheet name="Online Status" sheetId="4" state="hidden" r:id="rId4"/>
    <sheet name="Jamabandi-Rasheed" sheetId="5" r:id="rId5"/>
    <sheet name="Expenses" sheetId="3" r:id="rId6"/>
    <sheet name="Tauji Wise Khesra" sheetId="7" r:id="rId7"/>
    <sheet name="Jamabandi-online" sheetId="8" r:id="rId8"/>
    <sheet name="Jamabandi-apply" sheetId="9" r:id="rId9"/>
    <sheet name="Jamabandi Vs Raseed" sheetId="10" r:id="rId10"/>
    <sheet name="Schedule" sheetId="11" r:id="rId11"/>
    <sheet name="Jamabandi-List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" i="12"/>
  <c r="H72" i="11" l="1"/>
  <c r="G72" i="11"/>
  <c r="I71" i="11"/>
  <c r="I70" i="11"/>
  <c r="I69" i="11"/>
  <c r="I68" i="11"/>
  <c r="I67" i="11"/>
  <c r="I66" i="11"/>
  <c r="H59" i="11"/>
  <c r="G59" i="11"/>
  <c r="F59" i="11"/>
  <c r="I58" i="11"/>
  <c r="I57" i="11"/>
  <c r="I56" i="11"/>
  <c r="I55" i="11"/>
  <c r="I54" i="11"/>
  <c r="I53" i="11"/>
  <c r="I52" i="11"/>
  <c r="I51" i="11"/>
  <c r="I59" i="11" s="1"/>
  <c r="H48" i="11"/>
  <c r="G48" i="11"/>
  <c r="I47" i="11"/>
  <c r="I46" i="11"/>
  <c r="I45" i="11"/>
  <c r="I44" i="11"/>
  <c r="I43" i="11"/>
  <c r="I42" i="11"/>
  <c r="I41" i="11"/>
  <c r="I40" i="11"/>
  <c r="I39" i="11"/>
  <c r="I38" i="11"/>
  <c r="H32" i="11"/>
  <c r="G32" i="11"/>
  <c r="I31" i="11"/>
  <c r="I30" i="11"/>
  <c r="I29" i="11"/>
  <c r="I28" i="11"/>
  <c r="I27" i="11"/>
  <c r="H23" i="11"/>
  <c r="G23" i="11"/>
  <c r="I22" i="11"/>
  <c r="I21" i="11"/>
  <c r="I20" i="11"/>
  <c r="I19" i="11"/>
  <c r="I18" i="11"/>
  <c r="I17" i="11"/>
  <c r="H11" i="11"/>
  <c r="G11" i="11"/>
  <c r="I10" i="11"/>
  <c r="I9" i="11"/>
  <c r="I8" i="11"/>
  <c r="I7" i="11"/>
  <c r="I6" i="11"/>
  <c r="I5" i="11"/>
  <c r="I72" i="11" l="1"/>
  <c r="I48" i="11"/>
  <c r="I23" i="11"/>
  <c r="I11" i="11"/>
  <c r="I32" i="11"/>
  <c r="I29" i="6" l="1"/>
  <c r="I20" i="6"/>
  <c r="I21" i="6"/>
  <c r="I22" i="6"/>
  <c r="I23" i="6"/>
  <c r="I24" i="6"/>
  <c r="I25" i="6"/>
  <c r="I26" i="6"/>
  <c r="I27" i="6"/>
  <c r="I28" i="6"/>
  <c r="F40" i="6"/>
  <c r="G40" i="6"/>
  <c r="H40" i="6"/>
  <c r="I40" i="6"/>
  <c r="F29" i="6"/>
  <c r="G29" i="6"/>
  <c r="H29" i="6"/>
  <c r="I33" i="6"/>
  <c r="I34" i="6"/>
  <c r="I35" i="6"/>
  <c r="I36" i="6"/>
  <c r="I37" i="6"/>
  <c r="I38" i="6"/>
  <c r="I39" i="6"/>
  <c r="I32" i="6"/>
  <c r="I19" i="6"/>
  <c r="I16" i="6" l="1"/>
  <c r="I15" i="6"/>
  <c r="I13" i="6"/>
  <c r="I14" i="6"/>
  <c r="I5" i="6"/>
  <c r="I6" i="6"/>
  <c r="I7" i="6"/>
  <c r="I8" i="6"/>
  <c r="I9" i="6"/>
  <c r="I10" i="6"/>
  <c r="I11" i="6"/>
  <c r="I12" i="6"/>
  <c r="I4" i="6"/>
  <c r="J47" i="7" l="1"/>
  <c r="J9" i="1" l="1"/>
  <c r="I10" i="8" l="1"/>
  <c r="I13" i="8" l="1"/>
  <c r="I12" i="8"/>
  <c r="J28" i="9" l="1"/>
  <c r="J29" i="9"/>
  <c r="J30" i="9"/>
  <c r="J31" i="9"/>
  <c r="J32" i="9"/>
  <c r="J33" i="9"/>
  <c r="J27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4" i="9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8" i="7"/>
  <c r="J49" i="7"/>
  <c r="J50" i="7"/>
  <c r="J2" i="7"/>
  <c r="I49" i="6" l="1"/>
  <c r="I50" i="6" l="1"/>
  <c r="I48" i="6"/>
  <c r="J2" i="4" l="1"/>
  <c r="J6" i="1"/>
  <c r="J8" i="1" l="1"/>
  <c r="J11" i="1"/>
  <c r="J12" i="1"/>
  <c r="J4" i="1"/>
  <c r="J5" i="1"/>
  <c r="F1" i="3" l="1"/>
</calcChain>
</file>

<file path=xl/comments1.xml><?xml version="1.0" encoding="utf-8"?>
<comments xmlns="http://schemas.openxmlformats.org/spreadsheetml/2006/main">
  <authors>
    <author>Author</author>
  </authors>
  <commentList>
    <comment ref="G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kattha seen mismatched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Belagan</t>
        </r>
      </text>
    </comment>
    <comment ref="D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Belagan</t>
        </r>
      </text>
    </comment>
    <comment ref="D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kattha seen mismatched</t>
        </r>
      </text>
    </comment>
  </commentList>
</comments>
</file>

<file path=xl/sharedStrings.xml><?xml version="1.0" encoding="utf-8"?>
<sst xmlns="http://schemas.openxmlformats.org/spreadsheetml/2006/main" count="1232" uniqueCount="410">
  <si>
    <t>DECIMAL</t>
  </si>
  <si>
    <t>NAME</t>
  </si>
  <si>
    <t>MAUZA</t>
  </si>
  <si>
    <t>THANA NO</t>
  </si>
  <si>
    <t>KHATA</t>
  </si>
  <si>
    <t>KHASRA[OLD]</t>
  </si>
  <si>
    <t>KHSRA[NEW]</t>
  </si>
  <si>
    <t>RAKBA</t>
  </si>
  <si>
    <t>BIGHA</t>
  </si>
  <si>
    <t>KATTHA</t>
  </si>
  <si>
    <t>DHUR</t>
  </si>
  <si>
    <t>CHAUHADDI</t>
  </si>
  <si>
    <t>SOUTH</t>
  </si>
  <si>
    <t>NORTH</t>
  </si>
  <si>
    <t>EAST</t>
  </si>
  <si>
    <t>WEST</t>
  </si>
  <si>
    <t>JAMABANDI</t>
  </si>
  <si>
    <t>Lekhnath Lal</t>
  </si>
  <si>
    <t>NAME OF LAND</t>
  </si>
  <si>
    <t>Chargachhiya</t>
  </si>
  <si>
    <t>Nij</t>
  </si>
  <si>
    <t>Rasta</t>
  </si>
  <si>
    <t>Subodh Paswan</t>
  </si>
  <si>
    <t>Dabra</t>
  </si>
  <si>
    <t>KEWALA</t>
  </si>
  <si>
    <t>KEWALA DATE</t>
  </si>
  <si>
    <t>BHUMI KA DAWA</t>
  </si>
  <si>
    <t>Singhari</t>
  </si>
  <si>
    <t>1419 &amp; 1423</t>
  </si>
  <si>
    <t>Radha Mahaseth</t>
  </si>
  <si>
    <t>Pubariya Kalam</t>
  </si>
  <si>
    <t>Ek-amma</t>
  </si>
  <si>
    <t>Du-amma</t>
  </si>
  <si>
    <t>27 or 35</t>
  </si>
  <si>
    <t>Bhagwan Das</t>
  </si>
  <si>
    <t>Badri Purve</t>
  </si>
  <si>
    <t>Ram Lochan Mallick</t>
  </si>
  <si>
    <t>Kirtianand</t>
  </si>
  <si>
    <t>Aggrawal</t>
  </si>
  <si>
    <t>Badri Purve etc</t>
  </si>
  <si>
    <t>Kamla Devi</t>
  </si>
  <si>
    <t>Pradumn</t>
  </si>
  <si>
    <t>Kabari wala</t>
  </si>
  <si>
    <t>Darbra</t>
  </si>
  <si>
    <t>Central School</t>
  </si>
  <si>
    <t>Satish Das</t>
  </si>
  <si>
    <t>Rewatinath Lal</t>
  </si>
  <si>
    <t>Pachhwariya Kalam</t>
  </si>
  <si>
    <t>Nashi Upper</t>
  </si>
  <si>
    <t>Nashi Neecha</t>
  </si>
  <si>
    <t>Darbhanga Public School</t>
  </si>
  <si>
    <t>Railway</t>
  </si>
  <si>
    <t>1 Dhur</t>
  </si>
  <si>
    <t>KHATIYAN</t>
  </si>
  <si>
    <t>DEED NO</t>
  </si>
  <si>
    <t>DEED DATE</t>
  </si>
  <si>
    <t xml:space="preserve"> 29.10.1927</t>
  </si>
  <si>
    <t>7575</t>
  </si>
  <si>
    <t>Khatiyan</t>
  </si>
  <si>
    <t>Details of Expenses</t>
  </si>
  <si>
    <t>Expenses</t>
  </si>
  <si>
    <t>Total Expenses</t>
  </si>
  <si>
    <t>KHASRA [OLD]</t>
  </si>
  <si>
    <t>Mandir Gharari</t>
  </si>
  <si>
    <t>7528</t>
  </si>
  <si>
    <t>2 Kattha + 15 Dhoor</t>
  </si>
  <si>
    <t>18 Dhoor</t>
  </si>
  <si>
    <t>1 Kattha + 12 Dhoor</t>
  </si>
  <si>
    <t>Kal wala Baari</t>
  </si>
  <si>
    <t>1 Kattha + 3 Dhoor</t>
  </si>
  <si>
    <t>1 Kattha + 7 Dhoor</t>
  </si>
  <si>
    <t>3 Kattha + 4 Dhoor</t>
  </si>
  <si>
    <t>Doman Dasak Gharari</t>
  </si>
  <si>
    <t>9 Dhoor</t>
  </si>
  <si>
    <t>5 Dhoor</t>
  </si>
  <si>
    <t>Jhagraua Bari</t>
  </si>
  <si>
    <t>14 Dhoor</t>
  </si>
  <si>
    <t>1 kattha 12 Dhoor</t>
  </si>
  <si>
    <t>Dalaan Bari</t>
  </si>
  <si>
    <t>4 Kattha 16 Dhoor</t>
  </si>
  <si>
    <t>3 Kattha</t>
  </si>
  <si>
    <t>Basobas (Purna Gharari)</t>
  </si>
  <si>
    <t>3 Kattha 4 Dhoor</t>
  </si>
  <si>
    <t>PACHHAWARIA KALAM</t>
  </si>
  <si>
    <t>11 KATTHA 14 DHOOR</t>
  </si>
  <si>
    <t>5 KATTHA 1 DHOOR</t>
  </si>
  <si>
    <t>6 KATTHA</t>
  </si>
  <si>
    <t>Name of Land</t>
  </si>
  <si>
    <t>Khata</t>
  </si>
  <si>
    <t>Khasra</t>
  </si>
  <si>
    <t>Rakba</t>
  </si>
  <si>
    <t>Online Status</t>
  </si>
  <si>
    <t>New Jamabandi</t>
  </si>
  <si>
    <t>Jamabandi Number</t>
  </si>
  <si>
    <t>Buyer Name</t>
  </si>
  <si>
    <t>Seller Name</t>
  </si>
  <si>
    <t>Raj Narayan Lal Das</t>
  </si>
  <si>
    <t>Rameshwar Lal Das</t>
  </si>
  <si>
    <t>2 Katha 5 Dhur</t>
  </si>
  <si>
    <t>62 D + 67 D</t>
  </si>
  <si>
    <t>Anoop Lal Das</t>
  </si>
  <si>
    <t>2 Katha 15 Dhur</t>
  </si>
  <si>
    <t>Ayodhya Lal Das</t>
  </si>
  <si>
    <t>Doman Lal Das</t>
  </si>
  <si>
    <t>Lekhanath + Umanath + Rewatinath Lal</t>
  </si>
  <si>
    <t>Sadhe 11 Dhur</t>
  </si>
  <si>
    <t>7 Dhur</t>
  </si>
  <si>
    <t>Kusheswar + Kapileshwar Lal Das</t>
  </si>
  <si>
    <t>Jageshwar Lal Das</t>
  </si>
  <si>
    <t>2 Katha 15 Dur</t>
  </si>
  <si>
    <t>18 Dhur</t>
  </si>
  <si>
    <t>1 Katha 12 Dhur</t>
  </si>
  <si>
    <t>Singheswar Lal</t>
  </si>
  <si>
    <t>Sachi Pratilipi Nikalna hai</t>
  </si>
  <si>
    <t>Tauzi</t>
  </si>
  <si>
    <t>Rasheed Par Naam</t>
  </si>
  <si>
    <t>2 Katha 6 Dhur</t>
  </si>
  <si>
    <t>Lagan</t>
  </si>
  <si>
    <t>11.60</t>
  </si>
  <si>
    <t>8 Katha 15 Dhur</t>
  </si>
  <si>
    <t>10.40</t>
  </si>
  <si>
    <t>Date</t>
  </si>
  <si>
    <t>5.22</t>
  </si>
  <si>
    <t>16.28</t>
  </si>
  <si>
    <t>2206</t>
  </si>
  <si>
    <t>8 Katha 11 Dhur</t>
  </si>
  <si>
    <t>1029</t>
  </si>
  <si>
    <t>4 Bigha 19 Katha 4 Dhur</t>
  </si>
  <si>
    <t>4 Bigha 17 Katha 18 Dhur</t>
  </si>
  <si>
    <t>68</t>
  </si>
  <si>
    <t>95.50</t>
  </si>
  <si>
    <t>3 Bigha 19 Katha 8 Dhur</t>
  </si>
  <si>
    <t>126.40</t>
  </si>
  <si>
    <t>156.20</t>
  </si>
  <si>
    <t>198.60</t>
  </si>
  <si>
    <t>89.60</t>
  </si>
  <si>
    <t>4 Katha 8 Dhur</t>
  </si>
  <si>
    <t>3.48</t>
  </si>
  <si>
    <t>15 Katha 1 Dhur 10 Dhurki</t>
  </si>
  <si>
    <t>4-4(1/9)</t>
  </si>
  <si>
    <t>4.42</t>
  </si>
  <si>
    <t>Akzai ho gya hai</t>
  </si>
  <si>
    <t>102.83</t>
  </si>
  <si>
    <t>Sundar Lal Das</t>
  </si>
  <si>
    <t>4 Katha 12 Dhur</t>
  </si>
  <si>
    <t>1.64</t>
  </si>
  <si>
    <t>2.24</t>
  </si>
  <si>
    <t>11.44</t>
  </si>
  <si>
    <t>5.06</t>
  </si>
  <si>
    <t>3 Katha 6 Dhur 5(1/2) Dhurki</t>
  </si>
  <si>
    <t>1.85</t>
  </si>
  <si>
    <t>25.86</t>
  </si>
  <si>
    <t>18.79</t>
  </si>
  <si>
    <t>Amin Fee</t>
  </si>
  <si>
    <t>Amin Fee(Advance)</t>
  </si>
  <si>
    <t>Schedule Format Printing</t>
  </si>
  <si>
    <t>Mandir Gharari ka Kewala translation</t>
  </si>
  <si>
    <t>Mandir Gharari ka kewala nikalwane me kharch</t>
  </si>
  <si>
    <t>Total=&gt; 2 Kattha + 5 Dhoor</t>
  </si>
  <si>
    <t>Total=&gt; 5 Kattha + 19 Dhoor</t>
  </si>
  <si>
    <t>Total=&gt; 3 Kattha + 18 Dhoor</t>
  </si>
  <si>
    <t>11299</t>
  </si>
  <si>
    <t>BELAGAN</t>
  </si>
  <si>
    <t>Total=&gt; 5 Kattha + 5 Dhoor</t>
  </si>
  <si>
    <t>Total=&gt; 2 Kattha 6 Dhoor</t>
  </si>
  <si>
    <t>Total=&gt; 9 Kattha 4 Dhoor</t>
  </si>
  <si>
    <t>Total=&gt; 2 Kattha 14 Purnank 2 Batta 3</t>
  </si>
  <si>
    <t>Total=&gt; 16 KATTHA 15 DHOOR</t>
  </si>
  <si>
    <t>27/35</t>
  </si>
  <si>
    <t>171 (15/171)</t>
  </si>
  <si>
    <t>Neeras Lal Gharari (Samne Bari Nechalka)</t>
  </si>
  <si>
    <t>Neeras Lal Gharari (Samne Bari 7576 ke Uttar)</t>
  </si>
  <si>
    <t>Chargachhiya [Uttar]</t>
  </si>
  <si>
    <t>Chargachhiya [Dakshin]</t>
  </si>
  <si>
    <t>Samne Baari</t>
  </si>
  <si>
    <t>Mihan Jha etc</t>
  </si>
  <si>
    <t>Durgavati</t>
  </si>
  <si>
    <t>Nij etc</t>
  </si>
  <si>
    <t>Darbhanga Raj</t>
  </si>
  <si>
    <t>Godown</t>
  </si>
  <si>
    <t>Visho Singh</t>
  </si>
  <si>
    <t>Sanotosh
Sudhir Ram</t>
  </si>
  <si>
    <t>Suryanaran Lal Das</t>
  </si>
  <si>
    <t>Gauri Lal</t>
  </si>
  <si>
    <t>Sushila Devi</t>
  </si>
  <si>
    <t>Kirtianand Lal</t>
  </si>
  <si>
    <t>Basobas</t>
  </si>
  <si>
    <t>112, 868</t>
  </si>
  <si>
    <t>7789, 7790</t>
  </si>
  <si>
    <t>Khasra 114</t>
  </si>
  <si>
    <t>Road</t>
  </si>
  <si>
    <t>Jivanand Lal vagairah</t>
  </si>
  <si>
    <t>Ambuj</t>
  </si>
  <si>
    <t>Rajkishor vagairah</t>
  </si>
  <si>
    <t>Gunanand Mallik</t>
  </si>
  <si>
    <t>Pokhar</t>
  </si>
  <si>
    <t>DHURKI</t>
  </si>
  <si>
    <t>842, 843</t>
  </si>
  <si>
    <t>7566, 7572</t>
  </si>
  <si>
    <t>7577, 7576</t>
  </si>
  <si>
    <t>Awadh Mandal</t>
  </si>
  <si>
    <t>Shivji</t>
  </si>
  <si>
    <t>Rajkumar</t>
  </si>
  <si>
    <t>Khasra 7572</t>
  </si>
  <si>
    <t>Brahmanand Lal</t>
  </si>
  <si>
    <t>Baidyanath Lal</t>
  </si>
  <si>
    <t>Ratan</t>
  </si>
  <si>
    <t>Kirtianand Lal vagairah</t>
  </si>
  <si>
    <t>Ravindra Bhagat vagairah</t>
  </si>
  <si>
    <t>B
[Dalan + Baari]</t>
  </si>
  <si>
    <t>B1
[Enaar ke bagal wala]</t>
  </si>
  <si>
    <t>A1
[Khajoor baari ke ansh]</t>
  </si>
  <si>
    <t>A 
[Badka baari ke ansh]</t>
  </si>
  <si>
    <t>C
[Badka baari ke ansh]</t>
  </si>
  <si>
    <t>C1
[Badka baari ke ansh]</t>
  </si>
  <si>
    <t>C2
[Khajoor baari ke ansh]</t>
  </si>
  <si>
    <t>SADAK [Enaar]</t>
  </si>
  <si>
    <t>LAL DIDI BAARI</t>
  </si>
  <si>
    <t>KAL BAARI</t>
  </si>
  <si>
    <t>Unallotted lands</t>
  </si>
  <si>
    <t>Vedanand &amp; Kirti Anand</t>
  </si>
  <si>
    <t>Brahmanand</t>
  </si>
  <si>
    <t>Jivananad, Jayanand, Krishnanand &amp; Dharmanand</t>
  </si>
  <si>
    <t>Belagan</t>
  </si>
  <si>
    <t>2767
5893</t>
  </si>
  <si>
    <t>1934
1933
10-04-1940</t>
  </si>
  <si>
    <t>2026
2022</t>
  </si>
  <si>
    <t>23-04-1930
1926</t>
  </si>
  <si>
    <t>B2
[Badka baari ke ansh]</t>
  </si>
  <si>
    <t>7795, 7796</t>
  </si>
  <si>
    <t>MANDIR GHARARI</t>
  </si>
  <si>
    <t>KHESRA [NEW]</t>
  </si>
  <si>
    <t>27A</t>
  </si>
  <si>
    <t>198.70</t>
  </si>
  <si>
    <t>2014
[1892-New]</t>
  </si>
  <si>
    <t>D</t>
  </si>
  <si>
    <t xml:space="preserve">Vedanand, Kirti Anand, Brahmanand </t>
  </si>
  <si>
    <t>1018 + Vagairah</t>
  </si>
  <si>
    <t>KHASRA [New]</t>
  </si>
  <si>
    <t>Chargachhiya [Bhudaan]</t>
  </si>
  <si>
    <t>TAUJI</t>
  </si>
  <si>
    <t>Total=&gt;
5 Kattha + 5 Dhoor</t>
  </si>
  <si>
    <t>Samne wala Bari</t>
  </si>
  <si>
    <t>Total=&gt;
2 Kattha + 5 Dhoor</t>
  </si>
  <si>
    <t>Total=&gt;
5 Kattha + 19 Dhoor</t>
  </si>
  <si>
    <t>Total=&gt;
3 Kattha + 18 Dhoor</t>
  </si>
  <si>
    <t>Total= 2 Kattha 6 Dhoor</t>
  </si>
  <si>
    <t>3 Biggha 16 Kattha 07 Dhoor</t>
  </si>
  <si>
    <t>(Total 9 Kattha 4 Dhoor</t>
  </si>
  <si>
    <t>Total 2 Kattha 14 Purnank 2 Batta 3</t>
  </si>
  <si>
    <t>KHESRA</t>
  </si>
  <si>
    <t>Enaar ke Bagal Wala</t>
  </si>
  <si>
    <t>Kahjur Bari</t>
  </si>
  <si>
    <t>NASI</t>
  </si>
  <si>
    <t>EKA  AMMA</t>
  </si>
  <si>
    <t>NASI KE UPAR</t>
  </si>
  <si>
    <t>DU AMMA  (SIKMI)</t>
  </si>
  <si>
    <t>PUBARIA KALAM</t>
  </si>
  <si>
    <t>16 KATTHA 15 DHOOR</t>
  </si>
  <si>
    <t>1 BIGGHA 3 KATTHA 3 DHOOR</t>
  </si>
  <si>
    <t>4 KATTHA 7 DHOOR</t>
  </si>
  <si>
    <t>12 KATTHA 12 DHOOR</t>
  </si>
  <si>
    <t>11 KATTHA 9 DHOOR</t>
  </si>
  <si>
    <t>2 KATTHA 15 DHOOR</t>
  </si>
  <si>
    <t>3 KATTH 13 DHOOR</t>
  </si>
  <si>
    <t>3 KATTHA 9 DHOOR</t>
  </si>
  <si>
    <t>18 DHOOR</t>
  </si>
  <si>
    <t>TOTAL  10 KATTHA 15 DHOOR</t>
  </si>
  <si>
    <t>TOTAL 8 KATTHA 15 DHOOR</t>
  </si>
  <si>
    <t>MURDAHIYA</t>
  </si>
  <si>
    <t>Bauwe Lal Gharari [Lal didi bagal wala]</t>
  </si>
  <si>
    <t>40</t>
  </si>
  <si>
    <t>7</t>
  </si>
  <si>
    <t>167</t>
  </si>
  <si>
    <t>168</t>
  </si>
  <si>
    <t>171</t>
  </si>
  <si>
    <t>172</t>
  </si>
  <si>
    <t>75.21 D</t>
  </si>
  <si>
    <t>Khesra</t>
  </si>
  <si>
    <t>Jamabandi</t>
  </si>
  <si>
    <t>Actual Rakba</t>
  </si>
  <si>
    <t>Description</t>
  </si>
  <si>
    <t>Status</t>
  </si>
  <si>
    <t>Raiyyat</t>
  </si>
  <si>
    <t>Father's Name</t>
  </si>
  <si>
    <t>LEKH NATH LAL</t>
  </si>
  <si>
    <t>RAMESHWAR LAL</t>
  </si>
  <si>
    <t>3 A 46 D</t>
  </si>
  <si>
    <t>3 A 82.3 D</t>
  </si>
  <si>
    <t>Father name missing</t>
  </si>
  <si>
    <t>RAMESHWAR LAL DAS</t>
  </si>
  <si>
    <t>4 A 32 D</t>
  </si>
  <si>
    <t>JAALPADAN DAS</t>
  </si>
  <si>
    <t>20.05 D</t>
  </si>
  <si>
    <t>20 D</t>
  </si>
  <si>
    <t>SUNDAR LAL DAS</t>
  </si>
  <si>
    <t>Tauji</t>
  </si>
  <si>
    <t>3 A 57 D</t>
  </si>
  <si>
    <t>BABUNATH DAS</t>
  </si>
  <si>
    <t>10 D</t>
  </si>
  <si>
    <t>38.15 D</t>
  </si>
  <si>
    <t>3 D</t>
  </si>
  <si>
    <t>13.62 D</t>
  </si>
  <si>
    <t>0 D</t>
  </si>
  <si>
    <t>27 A</t>
  </si>
  <si>
    <t>1 A 57 D</t>
  </si>
  <si>
    <t>53 D</t>
  </si>
  <si>
    <t>92 D</t>
  </si>
  <si>
    <t>Father name missing
Rakba missing</t>
  </si>
  <si>
    <t>Online needs to be done</t>
  </si>
  <si>
    <t>5 Dhur</t>
  </si>
  <si>
    <t>14 Dhur</t>
  </si>
  <si>
    <t>3 Katha 4 Dhur</t>
  </si>
  <si>
    <t>1 Katha 3 Dhur</t>
  </si>
  <si>
    <t>37/38/41</t>
  </si>
  <si>
    <t>Decimal</t>
  </si>
  <si>
    <t>Kathha/Khesra missing</t>
  </si>
  <si>
    <t>Kathha/Khesra missing
Wrong raiyyat name &amp; Father's name missing</t>
  </si>
  <si>
    <t>Kathha/Khesra missing
Father name missing</t>
  </si>
  <si>
    <t>Bigha</t>
  </si>
  <si>
    <t>Katha</t>
  </si>
  <si>
    <t>Dhur</t>
  </si>
  <si>
    <t>4 Katha, 7 Dhur</t>
  </si>
  <si>
    <t>11 Katha, 14 Dhur</t>
  </si>
  <si>
    <t>5 Katha, 1 Dhur</t>
  </si>
  <si>
    <t>3 Katha 13 Dhur</t>
  </si>
  <si>
    <t>11(1/2) Dhur</t>
  </si>
  <si>
    <t>New Khesra</t>
  </si>
  <si>
    <t>1 Kattha 7 Dhur</t>
  </si>
  <si>
    <t>3 Ktha 9 Dhur</t>
  </si>
  <si>
    <t>Bauwe Lal Gharari 
[Lal didi bagal wala]</t>
  </si>
  <si>
    <t>37/38/40/41</t>
  </si>
  <si>
    <t>1 Kattha 3 Dhoor</t>
  </si>
  <si>
    <t>Neeras Lal</t>
  </si>
  <si>
    <t>3 Katha 18 Dhur</t>
  </si>
  <si>
    <t>19 Dhur</t>
  </si>
  <si>
    <t>1 Katha 5 Dhur</t>
  </si>
  <si>
    <t>Amin [Kal wala baari ke liye]</t>
  </si>
  <si>
    <t>7574</t>
  </si>
  <si>
    <t>Jamabandi Truti Sudhar</t>
  </si>
  <si>
    <t>Sold</t>
  </si>
  <si>
    <t>Old: 1007
New: 1419 &amp; 1423</t>
  </si>
  <si>
    <t>1007, 1419</t>
  </si>
  <si>
    <t>Raseed Amount</t>
  </si>
  <si>
    <t>Jamabandi No</t>
  </si>
  <si>
    <t>Entry As In 
Jamabandi Panji</t>
  </si>
  <si>
    <t>Chauhaddi</t>
  </si>
  <si>
    <t>Laganvati</t>
  </si>
  <si>
    <t>Ramchandra Lal</t>
  </si>
  <si>
    <t>1247</t>
  </si>
  <si>
    <t>Jiwananad, Jayanand, Krishnanand &amp; Dharmanand</t>
  </si>
  <si>
    <t>Lakshman Lal</t>
  </si>
  <si>
    <t>1588
New Khesra</t>
  </si>
  <si>
    <t>Remarks</t>
  </si>
  <si>
    <t>Remaining land 15 dhur for Vedanand and 1 Katha 10 dhur for Kirtianand &amp; Brahmanand.  Rest has been sold. Also 6.54 D registered for Sushila Devi.</t>
  </si>
  <si>
    <t>Kothla Ke Purab</t>
  </si>
  <si>
    <t>Vedanand</t>
  </si>
  <si>
    <t>Kirti Anand</t>
  </si>
  <si>
    <t xml:space="preserve">Vedanand </t>
  </si>
  <si>
    <t>A1
[Khajoor baari]</t>
  </si>
  <si>
    <t xml:space="preserve">Rajkishor </t>
  </si>
  <si>
    <t>Chandrakant</t>
  </si>
  <si>
    <t>Subodh</t>
  </si>
  <si>
    <t>Harinandan, Ramjanki</t>
  </si>
  <si>
    <t>Total</t>
  </si>
  <si>
    <r>
      <t>खाता</t>
    </r>
    <r>
      <rPr>
        <sz val="11"/>
        <color rgb="FF000000"/>
        <rFont val="Calibri"/>
        <family val="2"/>
        <scheme val="minor"/>
      </rPr>
      <t xml:space="preserve"> </t>
    </r>
  </si>
  <si>
    <t xml:space="preserve">खेसरा
(पुराना)
</t>
  </si>
  <si>
    <t xml:space="preserve">खेसरा
(नया )
</t>
  </si>
  <si>
    <t>रकवा</t>
  </si>
  <si>
    <t>चौहद्दी</t>
  </si>
  <si>
    <t>बि०</t>
  </si>
  <si>
    <t>क०</t>
  </si>
  <si>
    <t>धु०</t>
  </si>
  <si>
    <t>डी०</t>
  </si>
  <si>
    <t>उ०</t>
  </si>
  <si>
    <t>द०</t>
  </si>
  <si>
    <t>पु०</t>
  </si>
  <si>
    <t>प०</t>
  </si>
  <si>
    <t>Vedanand Lal</t>
  </si>
  <si>
    <t>Sarvesh</t>
  </si>
  <si>
    <t>Jiwananad Lal</t>
  </si>
  <si>
    <t xml:space="preserve">Jiwanand Lal </t>
  </si>
  <si>
    <t>Jiwanand Lal</t>
  </si>
  <si>
    <t>C
[Badka baari]</t>
  </si>
  <si>
    <t>C2
[Khajoor]</t>
  </si>
  <si>
    <t xml:space="preserve">Kirtianand </t>
  </si>
  <si>
    <t>Ravindra</t>
  </si>
  <si>
    <t>Pachhwariya</t>
  </si>
  <si>
    <t>Suryanaran</t>
  </si>
  <si>
    <t>Santosh</t>
  </si>
  <si>
    <t xml:space="preserve">Mohan Jha </t>
  </si>
  <si>
    <t xml:space="preserve">Sajhi </t>
  </si>
  <si>
    <t xml:space="preserve">Mandir Gharari </t>
  </si>
  <si>
    <t>Suryanaran Pariwar</t>
  </si>
  <si>
    <t>Dwarika Lal</t>
  </si>
  <si>
    <t>Srikant Giri</t>
  </si>
  <si>
    <t>Kal Baari</t>
  </si>
  <si>
    <t>Pradumn Lal</t>
  </si>
  <si>
    <t>Lal Didi ke bagal</t>
  </si>
  <si>
    <t>Gauri Shankar</t>
  </si>
  <si>
    <t>Alka Verma</t>
  </si>
  <si>
    <t>Ambika</t>
  </si>
  <si>
    <t>0</t>
  </si>
  <si>
    <t>31.9</t>
  </si>
  <si>
    <t>Old: 1179
New: 1572</t>
  </si>
  <si>
    <t>DADA GHARARI</t>
  </si>
  <si>
    <t>Kahjoor Baari</t>
  </si>
  <si>
    <t>Bauwe Lal Gharari</t>
  </si>
  <si>
    <t>Name</t>
  </si>
  <si>
    <t>Dhoor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</si>
</sst>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0"/>
      <color theme="1"/>
      <name val="Nirmala U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Mangal"/>
      <family val="1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2" borderId="2" xfId="0" applyFont="1" applyFill="1" applyBorder="1"/>
    <xf numFmtId="14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1" fillId="4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  <xf numFmtId="0" fontId="0" fillId="0" borderId="1" xfId="0" applyBorder="1"/>
    <xf numFmtId="0" fontId="0" fillId="6" borderId="1" xfId="0" applyFill="1" applyBorder="1" applyAlignment="1">
      <alignment horizontal="left"/>
    </xf>
    <xf numFmtId="0" fontId="1" fillId="7" borderId="0" xfId="0" applyFont="1" applyFill="1"/>
    <xf numFmtId="0" fontId="1" fillId="7" borderId="0" xfId="0" applyFont="1" applyFill="1" applyAlignment="1">
      <alignment wrapText="1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right"/>
    </xf>
    <xf numFmtId="0" fontId="0" fillId="0" borderId="0" xfId="0" quotePrefix="1"/>
    <xf numFmtId="14" fontId="0" fillId="0" borderId="0" xfId="0" applyNumberFormat="1"/>
    <xf numFmtId="0" fontId="1" fillId="4" borderId="0" xfId="0" applyFont="1" applyFill="1" applyAlignment="1">
      <alignment wrapText="1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8" borderId="0" xfId="0" applyFill="1"/>
    <xf numFmtId="0" fontId="0" fillId="8" borderId="0" xfId="0" quotePrefix="1" applyFill="1"/>
    <xf numFmtId="14" fontId="0" fillId="8" borderId="0" xfId="0" applyNumberFormat="1" applyFill="1"/>
    <xf numFmtId="0" fontId="0" fillId="0" borderId="0" xfId="0" applyFont="1"/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14" fontId="0" fillId="0" borderId="1" xfId="0" applyNumberFormat="1" applyFont="1" applyBorder="1" applyAlignment="1">
      <alignment horizontal="left" wrapText="1"/>
    </xf>
    <xf numFmtId="2" fontId="0" fillId="0" borderId="1" xfId="0" applyNumberFormat="1" applyFont="1" applyBorder="1" applyAlignment="1">
      <alignment wrapText="1"/>
    </xf>
    <xf numFmtId="0" fontId="0" fillId="0" borderId="0" xfId="0" applyFont="1" applyAlignment="1">
      <alignment horizontal="right"/>
    </xf>
    <xf numFmtId="0" fontId="0" fillId="0" borderId="1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14" fontId="0" fillId="0" borderId="1" xfId="0" applyNumberFormat="1" applyFont="1" applyBorder="1" applyAlignment="1">
      <alignment wrapText="1"/>
    </xf>
    <xf numFmtId="14" fontId="0" fillId="0" borderId="1" xfId="0" applyNumberFormat="1" applyFont="1" applyBorder="1" applyAlignment="1">
      <alignment horizontal="right" wrapText="1"/>
    </xf>
    <xf numFmtId="0" fontId="0" fillId="0" borderId="0" xfId="0" quotePrefix="1" applyBorder="1"/>
    <xf numFmtId="0" fontId="0" fillId="0" borderId="0" xfId="0" applyBorder="1"/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6" borderId="0" xfId="0" applyFont="1" applyFill="1" applyBorder="1" applyAlignment="1">
      <alignment horizontal="left"/>
    </xf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49" fontId="0" fillId="0" borderId="0" xfId="0" applyNumberFormat="1" applyBorder="1" applyAlignment="1">
      <alignment horizontal="right" wrapText="1"/>
    </xf>
    <xf numFmtId="0" fontId="0" fillId="0" borderId="0" xfId="0" applyAlignment="1">
      <alignment horizontal="left"/>
    </xf>
    <xf numFmtId="0" fontId="0" fillId="9" borderId="0" xfId="0" quotePrefix="1" applyFill="1" applyBorder="1"/>
    <xf numFmtId="0" fontId="0" fillId="9" borderId="0" xfId="0" applyFill="1" applyBorder="1"/>
    <xf numFmtId="0" fontId="1" fillId="9" borderId="0" xfId="0" applyFont="1" applyFill="1" applyBorder="1" applyAlignment="1">
      <alignment horizontal="left"/>
    </xf>
    <xf numFmtId="0" fontId="0" fillId="9" borderId="0" xfId="0" applyFill="1" applyBorder="1" applyAlignment="1">
      <alignment horizontal="right"/>
    </xf>
    <xf numFmtId="0" fontId="1" fillId="6" borderId="0" xfId="0" applyFont="1" applyFill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10" borderId="0" xfId="0" applyFont="1" applyFill="1" applyAlignment="1">
      <alignment horizontal="center"/>
    </xf>
    <xf numFmtId="0" fontId="0" fillId="10" borderId="0" xfId="0" applyFill="1" applyBorder="1" applyAlignment="1">
      <alignment horizontal="right"/>
    </xf>
    <xf numFmtId="0" fontId="6" fillId="10" borderId="0" xfId="0" applyFont="1" applyFill="1"/>
    <xf numFmtId="0" fontId="0" fillId="10" borderId="0" xfId="0" applyFill="1" applyBorder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center"/>
    </xf>
    <xf numFmtId="0" fontId="6" fillId="10" borderId="0" xfId="0" applyFont="1" applyFill="1" applyAlignment="1">
      <alignment horizontal="right"/>
    </xf>
    <xf numFmtId="0" fontId="0" fillId="0" borderId="0" xfId="0" applyBorder="1" applyAlignment="1">
      <alignment wrapText="1"/>
    </xf>
    <xf numFmtId="0" fontId="1" fillId="6" borderId="0" xfId="0" applyFont="1" applyFill="1" applyBorder="1" applyAlignment="1">
      <alignment horizontal="center"/>
    </xf>
    <xf numFmtId="49" fontId="0" fillId="10" borderId="0" xfId="0" applyNumberFormat="1" applyFill="1" applyBorder="1" applyAlignment="1">
      <alignment horizontal="center"/>
    </xf>
    <xf numFmtId="49" fontId="0" fillId="10" borderId="0" xfId="0" applyNumberFormat="1" applyFill="1" applyBorder="1" applyAlignment="1">
      <alignment horizontal="right"/>
    </xf>
    <xf numFmtId="49" fontId="0" fillId="10" borderId="0" xfId="0" applyNumberForma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6" fillId="13" borderId="0" xfId="0" applyFont="1" applyFill="1" applyAlignment="1">
      <alignment horizontal="center"/>
    </xf>
    <xf numFmtId="0" fontId="6" fillId="13" borderId="0" xfId="0" applyFont="1" applyFill="1"/>
    <xf numFmtId="0" fontId="6" fillId="13" borderId="0" xfId="0" applyFont="1" applyFill="1" applyAlignment="1">
      <alignment horizontal="right"/>
    </xf>
    <xf numFmtId="0" fontId="0" fillId="8" borderId="0" xfId="0" applyFill="1" applyAlignment="1">
      <alignment horizontal="center" wrapText="1"/>
    </xf>
    <xf numFmtId="0" fontId="0" fillId="12" borderId="1" xfId="0" applyFill="1" applyBorder="1"/>
    <xf numFmtId="0" fontId="6" fillId="12" borderId="1" xfId="0" applyFont="1" applyFill="1" applyBorder="1"/>
    <xf numFmtId="0" fontId="6" fillId="12" borderId="1" xfId="0" applyFont="1" applyFill="1" applyBorder="1" applyAlignment="1">
      <alignment horizontal="right" vertical="center"/>
    </xf>
    <xf numFmtId="0" fontId="0" fillId="8" borderId="1" xfId="0" applyFill="1" applyBorder="1" applyAlignment="1">
      <alignment horizontal="right"/>
    </xf>
    <xf numFmtId="0" fontId="0" fillId="8" borderId="1" xfId="0" applyFill="1" applyBorder="1"/>
    <xf numFmtId="49" fontId="0" fillId="8" borderId="1" xfId="0" applyNumberFormat="1" applyFill="1" applyBorder="1" applyAlignment="1">
      <alignment horizontal="right"/>
    </xf>
    <xf numFmtId="0" fontId="6" fillId="8" borderId="1" xfId="0" applyFont="1" applyFill="1" applyBorder="1" applyAlignment="1">
      <alignment horizontal="right" vertical="center"/>
    </xf>
    <xf numFmtId="0" fontId="6" fillId="8" borderId="1" xfId="0" applyFont="1" applyFill="1" applyBorder="1"/>
    <xf numFmtId="0" fontId="0" fillId="11" borderId="1" xfId="0" applyFill="1" applyBorder="1" applyAlignment="1">
      <alignment horizontal="right"/>
    </xf>
    <xf numFmtId="0" fontId="0" fillId="11" borderId="1" xfId="0" applyFill="1" applyBorder="1"/>
    <xf numFmtId="0" fontId="0" fillId="13" borderId="0" xfId="0" applyFill="1" applyAlignment="1">
      <alignment horizontal="right"/>
    </xf>
    <xf numFmtId="0" fontId="0" fillId="12" borderId="1" xfId="0" applyFont="1" applyFill="1" applyBorder="1" applyAlignment="1">
      <alignment wrapText="1"/>
    </xf>
    <xf numFmtId="0" fontId="0" fillId="12" borderId="1" xfId="0" applyFont="1" applyFill="1" applyBorder="1" applyAlignment="1">
      <alignment horizontal="right" wrapText="1"/>
    </xf>
    <xf numFmtId="2" fontId="0" fillId="12" borderId="1" xfId="0" applyNumberFormat="1" applyFont="1" applyFill="1" applyBorder="1" applyAlignment="1">
      <alignment wrapText="1"/>
    </xf>
    <xf numFmtId="0" fontId="0" fillId="14" borderId="1" xfId="0" applyFill="1" applyBorder="1" applyAlignment="1">
      <alignment horizontal="right"/>
    </xf>
    <xf numFmtId="0" fontId="0" fillId="14" borderId="1" xfId="0" applyFill="1" applyBorder="1"/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horizontal="right"/>
    </xf>
    <xf numFmtId="0" fontId="0" fillId="15" borderId="1" xfId="0" applyFill="1" applyBorder="1"/>
    <xf numFmtId="0" fontId="0" fillId="16" borderId="1" xfId="0" applyFill="1" applyBorder="1" applyAlignment="1">
      <alignment horizontal="right"/>
    </xf>
    <xf numFmtId="0" fontId="0" fillId="16" borderId="1" xfId="0" applyFill="1" applyBorder="1"/>
    <xf numFmtId="0" fontId="0" fillId="17" borderId="1" xfId="0" applyFill="1" applyBorder="1"/>
    <xf numFmtId="0" fontId="0" fillId="17" borderId="1" xfId="0" applyFont="1" applyFill="1" applyBorder="1" applyAlignment="1">
      <alignment wrapText="1"/>
    </xf>
    <xf numFmtId="0" fontId="0" fillId="17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Border="1" applyAlignment="1">
      <alignment horizontal="right"/>
    </xf>
    <xf numFmtId="0" fontId="0" fillId="0" borderId="0" xfId="0" applyFill="1" applyBorder="1"/>
    <xf numFmtId="0" fontId="0" fillId="0" borderId="0" xfId="0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0" fillId="13" borderId="0" xfId="0" applyFill="1" applyAlignment="1">
      <alignment horizontal="center"/>
    </xf>
    <xf numFmtId="0" fontId="6" fillId="13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center"/>
    </xf>
    <xf numFmtId="2" fontId="0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center" wrapText="1"/>
    </xf>
    <xf numFmtId="0" fontId="9" fillId="0" borderId="0" xfId="0" applyFont="1"/>
    <xf numFmtId="0" fontId="9" fillId="0" borderId="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center" wrapText="1"/>
    </xf>
    <xf numFmtId="2" fontId="0" fillId="0" borderId="0" xfId="0" applyNumberFormat="1" applyFont="1" applyBorder="1" applyAlignment="1">
      <alignment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wrapText="1"/>
    </xf>
    <xf numFmtId="0" fontId="1" fillId="6" borderId="0" xfId="0" applyFont="1" applyFill="1" applyBorder="1" applyAlignment="1">
      <alignment wrapText="1"/>
    </xf>
    <xf numFmtId="0" fontId="1" fillId="6" borderId="0" xfId="0" applyFont="1" applyFill="1" applyBorder="1" applyAlignment="1">
      <alignment horizontal="center" wrapText="1"/>
    </xf>
    <xf numFmtId="164" fontId="0" fillId="0" borderId="1" xfId="0" applyNumberFormat="1" applyBorder="1"/>
    <xf numFmtId="49" fontId="0" fillId="0" borderId="0" xfId="0" applyNumberFormat="1"/>
    <xf numFmtId="49" fontId="0" fillId="0" borderId="0" xfId="0" applyNumberForma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wrapText="1"/>
    </xf>
    <xf numFmtId="49" fontId="0" fillId="0" borderId="7" xfId="0" applyNumberFormat="1" applyBorder="1" applyAlignment="1">
      <alignment horizontal="center" wrapText="1"/>
    </xf>
    <xf numFmtId="49" fontId="0" fillId="0" borderId="8" xfId="0" applyNumberFormat="1" applyBorder="1" applyAlignment="1">
      <alignment horizontal="center" wrapText="1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8" fillId="6" borderId="3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 wrapText="1"/>
    </xf>
    <xf numFmtId="49" fontId="0" fillId="0" borderId="2" xfId="0" applyNumberForma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opLeftCell="A4" zoomScale="102" workbookViewId="0">
      <selection activeCell="A11" sqref="A11:XFD12"/>
    </sheetView>
  </sheetViews>
  <sheetFormatPr defaultRowHeight="15" x14ac:dyDescent="0.25"/>
  <cols>
    <col min="1" max="1" width="24.28515625" customWidth="1"/>
    <col min="2" max="2" width="13.28515625" style="2" customWidth="1"/>
    <col min="3" max="4" width="13.28515625" customWidth="1"/>
    <col min="5" max="5" width="10.42578125" customWidth="1"/>
    <col min="6" max="6" width="6.7109375" bestFit="1" customWidth="1"/>
    <col min="7" max="7" width="8" bestFit="1" customWidth="1"/>
    <col min="8" max="8" width="6.140625" bestFit="1" customWidth="1"/>
    <col min="9" max="9" width="7.85546875" bestFit="1" customWidth="1"/>
    <col min="10" max="10" width="9" bestFit="1" customWidth="1"/>
    <col min="11" max="11" width="13.28515625" customWidth="1"/>
    <col min="12" max="14" width="13.140625" bestFit="1" customWidth="1"/>
    <col min="15" max="15" width="11.85546875" bestFit="1" customWidth="1"/>
    <col min="16" max="16" width="10.140625" bestFit="1" customWidth="1"/>
    <col min="17" max="17" width="17.28515625" customWidth="1"/>
    <col min="18" max="18" width="13.7109375" customWidth="1"/>
    <col min="20" max="20" width="10.5703125" bestFit="1" customWidth="1"/>
  </cols>
  <sheetData>
    <row r="1" spans="1:20" s="10" customFormat="1" ht="12" x14ac:dyDescent="0.2">
      <c r="A1" s="10" t="s">
        <v>52</v>
      </c>
      <c r="B1" s="11">
        <v>0.218</v>
      </c>
    </row>
    <row r="2" spans="1:20" s="10" customFormat="1" ht="30" customHeight="1" x14ac:dyDescent="0.25">
      <c r="A2" s="3" t="s">
        <v>1</v>
      </c>
      <c r="B2" s="35" t="s">
        <v>18</v>
      </c>
      <c r="C2" s="34" t="s">
        <v>4</v>
      </c>
      <c r="D2" s="35" t="s">
        <v>62</v>
      </c>
      <c r="E2" s="35" t="s">
        <v>238</v>
      </c>
      <c r="F2" s="144" t="s">
        <v>7</v>
      </c>
      <c r="G2" s="144"/>
      <c r="H2" s="144"/>
      <c r="I2" s="144"/>
      <c r="J2" s="144"/>
      <c r="K2" s="144" t="s">
        <v>11</v>
      </c>
      <c r="L2" s="144"/>
      <c r="M2" s="144"/>
      <c r="N2" s="144"/>
      <c r="O2" s="33" t="s">
        <v>16</v>
      </c>
      <c r="P2" s="35" t="s">
        <v>26</v>
      </c>
      <c r="Q2" s="3" t="s">
        <v>54</v>
      </c>
      <c r="R2" s="3" t="s">
        <v>25</v>
      </c>
      <c r="S2" s="3" t="s">
        <v>2</v>
      </c>
      <c r="T2" s="3" t="s">
        <v>3</v>
      </c>
    </row>
    <row r="3" spans="1:20" s="10" customFormat="1" ht="30" customHeight="1" x14ac:dyDescent="0.25">
      <c r="A3" s="38"/>
      <c r="B3" s="38"/>
      <c r="C3" s="38"/>
      <c r="D3" s="38"/>
      <c r="F3" s="44" t="s">
        <v>8</v>
      </c>
      <c r="G3" s="44" t="s">
        <v>9</v>
      </c>
      <c r="H3" s="44" t="s">
        <v>10</v>
      </c>
      <c r="I3" s="44" t="s">
        <v>196</v>
      </c>
      <c r="J3" s="44" t="s">
        <v>0</v>
      </c>
      <c r="K3" s="44" t="s">
        <v>13</v>
      </c>
      <c r="L3" s="44" t="s">
        <v>12</v>
      </c>
      <c r="M3" s="44" t="s">
        <v>14</v>
      </c>
      <c r="N3" s="44" t="s">
        <v>15</v>
      </c>
      <c r="O3" s="1"/>
      <c r="P3" s="36"/>
      <c r="Q3" s="36"/>
      <c r="R3" s="36"/>
      <c r="S3" s="38"/>
      <c r="T3" s="38"/>
    </row>
    <row r="4" spans="1:20" s="10" customFormat="1" ht="29.25" customHeight="1" x14ac:dyDescent="0.25">
      <c r="A4" s="39" t="s">
        <v>236</v>
      </c>
      <c r="B4" s="38" t="s">
        <v>27</v>
      </c>
      <c r="C4" s="38">
        <v>1892</v>
      </c>
      <c r="D4" s="38">
        <v>1007</v>
      </c>
      <c r="E4" s="36" t="s">
        <v>28</v>
      </c>
      <c r="F4" s="38">
        <v>1</v>
      </c>
      <c r="G4" s="38">
        <v>17</v>
      </c>
      <c r="H4" s="38">
        <v>10</v>
      </c>
      <c r="I4" s="38"/>
      <c r="J4" s="41">
        <f>((F4*20)*20+G4*20+H4)*$B$1</f>
        <v>163.5</v>
      </c>
      <c r="K4" s="38"/>
      <c r="L4" s="38"/>
      <c r="M4" s="38"/>
      <c r="N4" s="38"/>
      <c r="O4" s="36">
        <v>14</v>
      </c>
      <c r="P4" s="36" t="s">
        <v>24</v>
      </c>
      <c r="Q4" s="38">
        <v>3849</v>
      </c>
      <c r="R4" s="45">
        <v>4535</v>
      </c>
      <c r="S4" s="38"/>
      <c r="T4" s="38"/>
    </row>
    <row r="5" spans="1:20" s="10" customFormat="1" ht="30" x14ac:dyDescent="0.25">
      <c r="A5" s="39" t="s">
        <v>236</v>
      </c>
      <c r="B5" s="38" t="s">
        <v>355</v>
      </c>
      <c r="C5" s="38">
        <v>1989</v>
      </c>
      <c r="D5" s="38">
        <v>1190</v>
      </c>
      <c r="E5" s="36">
        <v>1588</v>
      </c>
      <c r="F5" s="38">
        <v>0</v>
      </c>
      <c r="G5" s="38">
        <v>5</v>
      </c>
      <c r="H5" s="38">
        <v>5</v>
      </c>
      <c r="I5" s="38"/>
      <c r="J5" s="41">
        <f>((F5*20)*20+G5*20+H5)*$B$1</f>
        <v>22.89</v>
      </c>
      <c r="K5" s="38" t="s">
        <v>29</v>
      </c>
      <c r="L5" s="38" t="s">
        <v>29</v>
      </c>
      <c r="M5" s="38" t="s">
        <v>29</v>
      </c>
      <c r="N5" s="38" t="s">
        <v>184</v>
      </c>
      <c r="O5" s="36">
        <v>103</v>
      </c>
      <c r="P5" s="36" t="s">
        <v>24</v>
      </c>
      <c r="Q5" s="36">
        <v>7042</v>
      </c>
      <c r="R5" s="46">
        <v>14143</v>
      </c>
      <c r="S5" s="38"/>
      <c r="T5" s="38"/>
    </row>
    <row r="6" spans="1:20" s="10" customFormat="1" ht="30" x14ac:dyDescent="0.25">
      <c r="A6" s="38" t="s">
        <v>184</v>
      </c>
      <c r="B6" s="38" t="s">
        <v>355</v>
      </c>
      <c r="C6" s="38">
        <v>892</v>
      </c>
      <c r="D6" s="38">
        <v>1190</v>
      </c>
      <c r="E6" s="36">
        <v>1588</v>
      </c>
      <c r="F6" s="38">
        <v>0</v>
      </c>
      <c r="G6" s="38">
        <v>1</v>
      </c>
      <c r="H6" s="38">
        <v>10</v>
      </c>
      <c r="I6" s="38"/>
      <c r="J6" s="41">
        <f>((F6*20)*20+G6*20+H6)*$B$1</f>
        <v>6.54</v>
      </c>
      <c r="K6" s="38" t="s">
        <v>29</v>
      </c>
      <c r="L6" s="38" t="s">
        <v>29</v>
      </c>
      <c r="M6" s="38" t="s">
        <v>185</v>
      </c>
      <c r="N6" s="38" t="s">
        <v>35</v>
      </c>
      <c r="O6" s="36">
        <v>103</v>
      </c>
      <c r="P6" s="36" t="s">
        <v>24</v>
      </c>
      <c r="Q6" s="36">
        <v>7042</v>
      </c>
      <c r="R6" s="46">
        <v>14143</v>
      </c>
      <c r="S6" s="38"/>
      <c r="T6" s="38"/>
    </row>
    <row r="7" spans="1:20" s="10" customFormat="1" ht="13.5" customHeight="1" x14ac:dyDescent="0.25">
      <c r="A7" s="96"/>
      <c r="B7" s="96"/>
      <c r="C7" s="96"/>
      <c r="D7" s="96"/>
      <c r="E7" s="97"/>
      <c r="F7" s="96"/>
      <c r="G7" s="96"/>
      <c r="H7" s="96"/>
      <c r="I7" s="96"/>
      <c r="J7" s="98"/>
      <c r="K7" s="96"/>
      <c r="L7" s="96"/>
      <c r="M7" s="96"/>
      <c r="N7" s="96"/>
      <c r="O7" s="97"/>
      <c r="P7" s="97"/>
      <c r="Q7" s="97"/>
      <c r="R7" s="97"/>
      <c r="S7" s="96"/>
      <c r="T7" s="96"/>
    </row>
    <row r="8" spans="1:20" s="10" customFormat="1" ht="45" x14ac:dyDescent="0.25">
      <c r="A8" s="39" t="s">
        <v>222</v>
      </c>
      <c r="B8" s="38" t="s">
        <v>27</v>
      </c>
      <c r="C8" s="38">
        <v>1892</v>
      </c>
      <c r="D8" s="38">
        <v>1007</v>
      </c>
      <c r="E8" s="36" t="s">
        <v>28</v>
      </c>
      <c r="F8" s="38">
        <v>1</v>
      </c>
      <c r="G8" s="38">
        <v>17</v>
      </c>
      <c r="H8" s="38">
        <v>10</v>
      </c>
      <c r="I8" s="38"/>
      <c r="J8" s="41">
        <f>((F8*20)*20+G8*20+H8)*$B$1</f>
        <v>163.5</v>
      </c>
      <c r="K8" s="38" t="s">
        <v>37</v>
      </c>
      <c r="L8" s="38" t="s">
        <v>39</v>
      </c>
      <c r="M8" s="38" t="s">
        <v>237</v>
      </c>
      <c r="N8" s="38" t="s">
        <v>45</v>
      </c>
      <c r="O8" s="36">
        <v>14</v>
      </c>
      <c r="P8" s="36" t="s">
        <v>24</v>
      </c>
      <c r="Q8" s="38">
        <v>3849</v>
      </c>
      <c r="R8" s="45">
        <v>4535</v>
      </c>
      <c r="S8" s="38"/>
      <c r="T8" s="38"/>
    </row>
    <row r="9" spans="1:20" s="10" customFormat="1" ht="45" x14ac:dyDescent="0.25">
      <c r="A9" s="39" t="s">
        <v>350</v>
      </c>
      <c r="B9" s="38" t="s">
        <v>31</v>
      </c>
      <c r="C9" s="38">
        <v>2014</v>
      </c>
      <c r="D9" s="38">
        <v>1179</v>
      </c>
      <c r="E9" s="36">
        <v>1572</v>
      </c>
      <c r="F9" s="38">
        <v>0</v>
      </c>
      <c r="G9" s="38">
        <v>4</v>
      </c>
      <c r="H9" s="38">
        <v>7</v>
      </c>
      <c r="I9" s="38"/>
      <c r="J9" s="41">
        <f>((F9*20)*20+G9*20+H9)*'Schedule-Grameen'!$B$1</f>
        <v>18.966000000000001</v>
      </c>
      <c r="K9" s="38" t="s">
        <v>35</v>
      </c>
      <c r="L9" s="38" t="s">
        <v>38</v>
      </c>
      <c r="M9" s="38" t="s">
        <v>41</v>
      </c>
      <c r="N9" s="38" t="s">
        <v>35</v>
      </c>
      <c r="O9" s="36" t="s">
        <v>33</v>
      </c>
      <c r="P9" s="36" t="s">
        <v>53</v>
      </c>
      <c r="Q9" s="38" t="s">
        <v>58</v>
      </c>
      <c r="R9" s="45"/>
      <c r="S9" s="38"/>
      <c r="T9" s="38"/>
    </row>
    <row r="10" spans="1:20" s="10" customFormat="1" x14ac:dyDescent="0.25">
      <c r="A10" s="96"/>
      <c r="B10" s="96"/>
      <c r="C10" s="96"/>
      <c r="D10" s="96"/>
      <c r="E10" s="97"/>
      <c r="F10" s="96"/>
      <c r="G10" s="96"/>
      <c r="H10" s="96"/>
      <c r="I10" s="96"/>
      <c r="J10" s="98"/>
      <c r="K10" s="96"/>
      <c r="L10" s="96"/>
      <c r="M10" s="96"/>
      <c r="N10" s="96"/>
      <c r="O10" s="97"/>
      <c r="P10" s="97"/>
      <c r="Q10" s="97"/>
      <c r="R10" s="97"/>
      <c r="S10" s="96"/>
      <c r="T10" s="96"/>
    </row>
    <row r="11" spans="1:20" s="10" customFormat="1" ht="30" x14ac:dyDescent="0.25">
      <c r="A11" s="38" t="s">
        <v>46</v>
      </c>
      <c r="B11" s="38" t="s">
        <v>48</v>
      </c>
      <c r="C11" s="36" t="s">
        <v>234</v>
      </c>
      <c r="D11" s="38">
        <v>790</v>
      </c>
      <c r="E11" s="36">
        <v>1544</v>
      </c>
      <c r="F11" s="38">
        <v>0</v>
      </c>
      <c r="G11" s="38">
        <v>12</v>
      </c>
      <c r="H11" s="38">
        <v>12</v>
      </c>
      <c r="I11" s="38"/>
      <c r="J11" s="41">
        <f>((F11*20)*20+G11*20+H11)*$B$1</f>
        <v>54.936</v>
      </c>
      <c r="K11" s="38" t="s">
        <v>20</v>
      </c>
      <c r="L11" s="38" t="s">
        <v>175</v>
      </c>
      <c r="M11" s="38" t="s">
        <v>176</v>
      </c>
      <c r="N11" s="38" t="s">
        <v>175</v>
      </c>
      <c r="O11" s="36" t="s">
        <v>232</v>
      </c>
      <c r="P11" s="36" t="s">
        <v>53</v>
      </c>
      <c r="Q11" s="38" t="s">
        <v>58</v>
      </c>
      <c r="R11" s="45"/>
      <c r="S11" s="38"/>
      <c r="T11" s="38"/>
    </row>
    <row r="12" spans="1:20" s="10" customFormat="1" ht="30" x14ac:dyDescent="0.25">
      <c r="A12" s="38" t="s">
        <v>46</v>
      </c>
      <c r="B12" s="38" t="s">
        <v>49</v>
      </c>
      <c r="C12" s="36" t="s">
        <v>234</v>
      </c>
      <c r="D12" s="38">
        <v>792</v>
      </c>
      <c r="E12" s="36">
        <v>1541</v>
      </c>
      <c r="F12" s="38">
        <v>1</v>
      </c>
      <c r="G12" s="38">
        <v>3</v>
      </c>
      <c r="H12" s="38">
        <v>3</v>
      </c>
      <c r="I12" s="38"/>
      <c r="J12" s="41">
        <f>((F12*20)*20+G12*20+H12)*$B$1</f>
        <v>100.934</v>
      </c>
      <c r="K12" s="38" t="s">
        <v>178</v>
      </c>
      <c r="L12" s="38" t="s">
        <v>177</v>
      </c>
      <c r="M12" s="38" t="s">
        <v>50</v>
      </c>
      <c r="N12" s="38" t="s">
        <v>51</v>
      </c>
      <c r="O12" s="36" t="s">
        <v>232</v>
      </c>
      <c r="P12" s="36" t="s">
        <v>53</v>
      </c>
      <c r="Q12" s="38" t="s">
        <v>58</v>
      </c>
      <c r="R12" s="45"/>
      <c r="S12" s="38"/>
      <c r="T12" s="38"/>
    </row>
  </sheetData>
  <mergeCells count="2">
    <mergeCell ref="F2:J2"/>
    <mergeCell ref="K2:N2"/>
  </mergeCells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pane ySplit="3" topLeftCell="A42" activePane="bottomLeft" state="frozen"/>
      <selection pane="bottomLeft" activeCell="H49" sqref="H49"/>
    </sheetView>
  </sheetViews>
  <sheetFormatPr defaultRowHeight="15" x14ac:dyDescent="0.25"/>
  <cols>
    <col min="1" max="1" width="27.42578125" style="31" customWidth="1"/>
    <col min="2" max="2" width="21.28515625" style="31" customWidth="1"/>
    <col min="3" max="3" width="10.5703125" style="119" customWidth="1"/>
    <col min="4" max="4" width="11.42578125" style="119" customWidth="1"/>
    <col min="5" max="6" width="10" style="119" customWidth="1"/>
    <col min="7" max="7" width="8.28515625" style="119" customWidth="1"/>
    <col min="8" max="8" width="7.140625" style="119" customWidth="1"/>
    <col min="9" max="9" width="9" style="119" bestFit="1" customWidth="1"/>
    <col min="10" max="10" width="12.5703125" style="119" bestFit="1" customWidth="1"/>
    <col min="11" max="11" width="14.7109375" style="31" bestFit="1" customWidth="1"/>
    <col min="12" max="12" width="12.5703125" style="31" bestFit="1" customWidth="1"/>
    <col min="13" max="13" width="15.5703125" style="31" bestFit="1" customWidth="1"/>
    <col min="14" max="14" width="12.85546875" style="31" customWidth="1"/>
    <col min="15" max="15" width="17.85546875" style="31" customWidth="1"/>
    <col min="16" max="16" width="8.85546875" style="31" bestFit="1" customWidth="1"/>
    <col min="17" max="17" width="13.7109375" style="31" bestFit="1" customWidth="1"/>
    <col min="18" max="18" width="7.85546875" style="31" bestFit="1" customWidth="1"/>
    <col min="19" max="19" width="10.5703125" style="31" bestFit="1" customWidth="1"/>
    <col min="20" max="16384" width="9.140625" style="31"/>
  </cols>
  <sheetData>
    <row r="1" spans="1:19" x14ac:dyDescent="0.25">
      <c r="A1" s="31" t="s">
        <v>52</v>
      </c>
      <c r="B1" s="32">
        <v>0.218</v>
      </c>
      <c r="C1" s="118" t="s">
        <v>235</v>
      </c>
    </row>
    <row r="2" spans="1:19" ht="30" customHeight="1" x14ac:dyDescent="0.25">
      <c r="A2" s="3" t="s">
        <v>1</v>
      </c>
      <c r="B2" s="33" t="s">
        <v>18</v>
      </c>
      <c r="C2" s="35" t="s">
        <v>4</v>
      </c>
      <c r="D2" s="35" t="s">
        <v>62</v>
      </c>
      <c r="E2" s="35" t="s">
        <v>231</v>
      </c>
      <c r="F2" s="146" t="s">
        <v>7</v>
      </c>
      <c r="G2" s="147"/>
      <c r="H2" s="147"/>
      <c r="I2" s="109"/>
      <c r="J2" s="144" t="s">
        <v>11</v>
      </c>
      <c r="K2" s="144"/>
      <c r="L2" s="144"/>
      <c r="M2" s="144"/>
      <c r="N2" s="33" t="s">
        <v>16</v>
      </c>
      <c r="O2" s="35" t="s">
        <v>26</v>
      </c>
      <c r="P2" s="3" t="s">
        <v>54</v>
      </c>
      <c r="Q2" s="3" t="s">
        <v>25</v>
      </c>
      <c r="R2" s="3" t="s">
        <v>240</v>
      </c>
      <c r="S2" s="3" t="s">
        <v>3</v>
      </c>
    </row>
    <row r="3" spans="1:19" x14ac:dyDescent="0.25">
      <c r="A3" s="36"/>
      <c r="B3" s="36"/>
      <c r="C3" s="43"/>
      <c r="D3" s="43"/>
      <c r="E3" s="43"/>
      <c r="F3" s="120" t="s">
        <v>8</v>
      </c>
      <c r="G3" s="120" t="s">
        <v>9</v>
      </c>
      <c r="H3" s="120" t="s">
        <v>10</v>
      </c>
      <c r="I3" s="120" t="s">
        <v>0</v>
      </c>
      <c r="J3" s="120" t="s">
        <v>13</v>
      </c>
      <c r="K3" s="37" t="s">
        <v>12</v>
      </c>
      <c r="L3" s="37" t="s">
        <v>14</v>
      </c>
      <c r="M3" s="37" t="s">
        <v>15</v>
      </c>
      <c r="N3" s="36"/>
      <c r="O3" s="36"/>
      <c r="P3" s="36"/>
      <c r="Q3" s="36"/>
      <c r="R3" s="38"/>
      <c r="S3" s="38"/>
    </row>
    <row r="4" spans="1:19" ht="32.25" customHeight="1" x14ac:dyDescent="0.25">
      <c r="A4" s="39" t="s">
        <v>221</v>
      </c>
      <c r="B4" s="39" t="s">
        <v>212</v>
      </c>
      <c r="C4" s="43">
        <v>1886</v>
      </c>
      <c r="D4" s="43">
        <v>7572</v>
      </c>
      <c r="E4" s="43" t="s">
        <v>187</v>
      </c>
      <c r="F4" s="43"/>
      <c r="G4" s="43">
        <v>1</v>
      </c>
      <c r="H4" s="43">
        <v>11</v>
      </c>
      <c r="I4" s="121">
        <f>((F4*20)*20+G4*20+H4)*$B$1</f>
        <v>6.758</v>
      </c>
      <c r="J4" s="43" t="s">
        <v>191</v>
      </c>
      <c r="K4" s="39" t="s">
        <v>46</v>
      </c>
      <c r="L4" s="39" t="s">
        <v>189</v>
      </c>
      <c r="M4" s="39" t="s">
        <v>190</v>
      </c>
      <c r="N4" s="43">
        <v>171</v>
      </c>
      <c r="O4" s="39" t="s">
        <v>24</v>
      </c>
      <c r="P4" s="36" t="s">
        <v>224</v>
      </c>
      <c r="Q4" s="39" t="s">
        <v>225</v>
      </c>
      <c r="R4" s="38"/>
      <c r="S4" s="38"/>
    </row>
    <row r="5" spans="1:19" ht="31.5" customHeight="1" x14ac:dyDescent="0.25">
      <c r="A5" s="39" t="s">
        <v>220</v>
      </c>
      <c r="B5" s="39" t="s">
        <v>211</v>
      </c>
      <c r="C5" s="43">
        <v>1773</v>
      </c>
      <c r="D5" s="43" t="s">
        <v>229</v>
      </c>
      <c r="E5" s="43">
        <v>106</v>
      </c>
      <c r="F5" s="43"/>
      <c r="G5" s="43">
        <v>1</v>
      </c>
      <c r="H5" s="43">
        <v>5</v>
      </c>
      <c r="I5" s="121">
        <f t="shared" ref="I5:I14" si="0">((F5*20)*20+G5*20+H5)*$B$1</f>
        <v>5.45</v>
      </c>
      <c r="J5" s="43" t="s">
        <v>190</v>
      </c>
      <c r="K5" s="39" t="s">
        <v>192</v>
      </c>
      <c r="L5" s="39" t="s">
        <v>190</v>
      </c>
      <c r="M5" s="39" t="s">
        <v>193</v>
      </c>
      <c r="N5" s="43">
        <v>82</v>
      </c>
      <c r="O5" s="39" t="s">
        <v>24</v>
      </c>
      <c r="P5" s="36">
        <v>8869</v>
      </c>
      <c r="Q5" s="39">
        <v>1927</v>
      </c>
      <c r="R5" s="38"/>
      <c r="S5" s="38"/>
    </row>
    <row r="6" spans="1:19" ht="30" x14ac:dyDescent="0.25">
      <c r="A6" s="39" t="s">
        <v>356</v>
      </c>
      <c r="B6" s="39" t="s">
        <v>186</v>
      </c>
      <c r="C6" s="43">
        <v>1887</v>
      </c>
      <c r="D6" s="43" t="s">
        <v>188</v>
      </c>
      <c r="E6" s="43">
        <v>871</v>
      </c>
      <c r="F6" s="43"/>
      <c r="G6" s="43"/>
      <c r="H6" s="43">
        <v>18</v>
      </c>
      <c r="I6" s="121">
        <f t="shared" si="0"/>
        <v>3.9239999999999999</v>
      </c>
      <c r="J6" s="43" t="s">
        <v>46</v>
      </c>
      <c r="K6" s="39" t="s">
        <v>194</v>
      </c>
      <c r="L6" s="39" t="s">
        <v>190</v>
      </c>
      <c r="M6" s="39" t="s">
        <v>195</v>
      </c>
      <c r="N6" s="43" t="s">
        <v>223</v>
      </c>
      <c r="O6" s="39" t="s">
        <v>53</v>
      </c>
      <c r="P6" s="36"/>
      <c r="Q6" s="39"/>
      <c r="R6" s="38"/>
      <c r="S6" s="38"/>
    </row>
    <row r="7" spans="1:19" x14ac:dyDescent="0.25">
      <c r="A7" s="39" t="s">
        <v>357</v>
      </c>
      <c r="B7" s="39" t="s">
        <v>186</v>
      </c>
      <c r="C7" s="43">
        <v>1887</v>
      </c>
      <c r="D7" s="43" t="s">
        <v>188</v>
      </c>
      <c r="E7" s="43">
        <v>871</v>
      </c>
      <c r="F7" s="43"/>
      <c r="G7" s="43"/>
      <c r="H7" s="43">
        <v>18</v>
      </c>
      <c r="I7" s="121">
        <f t="shared" si="0"/>
        <v>3.9239999999999999</v>
      </c>
      <c r="J7" s="43"/>
      <c r="K7" s="39"/>
      <c r="L7" s="39"/>
      <c r="M7" s="39"/>
      <c r="N7" s="43"/>
      <c r="O7" s="39"/>
      <c r="P7" s="36"/>
      <c r="Q7" s="39"/>
      <c r="R7" s="38"/>
      <c r="S7" s="38"/>
    </row>
    <row r="8" spans="1:19" ht="30" x14ac:dyDescent="0.25">
      <c r="A8" s="39" t="s">
        <v>358</v>
      </c>
      <c r="B8" s="38" t="s">
        <v>19</v>
      </c>
      <c r="C8" s="43">
        <v>1839</v>
      </c>
      <c r="D8" s="43">
        <v>7545</v>
      </c>
      <c r="E8" s="43"/>
      <c r="F8" s="43"/>
      <c r="G8" s="43">
        <v>0</v>
      </c>
      <c r="H8" s="43">
        <v>18</v>
      </c>
      <c r="I8" s="121">
        <f t="shared" si="0"/>
        <v>3.9239999999999999</v>
      </c>
      <c r="J8" s="43" t="s">
        <v>20</v>
      </c>
      <c r="K8" s="38" t="s">
        <v>21</v>
      </c>
      <c r="L8" s="38" t="s">
        <v>21</v>
      </c>
      <c r="M8" s="38" t="s">
        <v>22</v>
      </c>
      <c r="N8" s="43">
        <v>168</v>
      </c>
      <c r="O8" s="39" t="s">
        <v>24</v>
      </c>
      <c r="P8" s="36" t="s">
        <v>226</v>
      </c>
      <c r="Q8" s="40" t="s">
        <v>227</v>
      </c>
      <c r="R8" s="38"/>
      <c r="S8" s="38"/>
    </row>
    <row r="9" spans="1:19" x14ac:dyDescent="0.25">
      <c r="A9" s="39" t="s">
        <v>357</v>
      </c>
      <c r="B9" s="38" t="s">
        <v>19</v>
      </c>
      <c r="C9" s="43">
        <v>1839</v>
      </c>
      <c r="D9" s="43">
        <v>7545</v>
      </c>
      <c r="E9" s="43"/>
      <c r="F9" s="43"/>
      <c r="G9" s="43"/>
      <c r="H9" s="43">
        <v>18</v>
      </c>
      <c r="I9" s="121">
        <f t="shared" si="0"/>
        <v>3.9239999999999999</v>
      </c>
      <c r="J9" s="43"/>
      <c r="K9" s="38"/>
      <c r="L9" s="38"/>
      <c r="M9" s="38"/>
      <c r="N9" s="43"/>
      <c r="O9" s="39"/>
      <c r="P9" s="36"/>
      <c r="Q9" s="40"/>
      <c r="R9" s="38"/>
      <c r="S9" s="38"/>
    </row>
    <row r="10" spans="1:19" x14ac:dyDescent="0.25">
      <c r="A10" s="39" t="s">
        <v>221</v>
      </c>
      <c r="B10" s="38" t="s">
        <v>19</v>
      </c>
      <c r="C10" s="43">
        <v>1839</v>
      </c>
      <c r="D10" s="43">
        <v>7545</v>
      </c>
      <c r="E10" s="43"/>
      <c r="F10" s="43"/>
      <c r="G10" s="43"/>
      <c r="H10" s="43">
        <v>18</v>
      </c>
      <c r="I10" s="121">
        <f t="shared" si="0"/>
        <v>3.9239999999999999</v>
      </c>
      <c r="J10" s="43"/>
      <c r="K10" s="38"/>
      <c r="L10" s="38"/>
      <c r="M10" s="38"/>
      <c r="N10" s="43"/>
      <c r="O10" s="39"/>
      <c r="P10" s="36"/>
      <c r="Q10" s="40"/>
      <c r="R10" s="38"/>
      <c r="S10" s="38"/>
    </row>
    <row r="11" spans="1:19" x14ac:dyDescent="0.25">
      <c r="A11" s="39"/>
      <c r="B11" s="38"/>
      <c r="C11" s="43"/>
      <c r="D11" s="43"/>
      <c r="E11" s="43"/>
      <c r="F11" s="43"/>
      <c r="G11" s="43"/>
      <c r="H11" s="43"/>
      <c r="I11" s="121">
        <f t="shared" si="0"/>
        <v>0</v>
      </c>
      <c r="J11" s="43"/>
      <c r="K11" s="38"/>
      <c r="L11" s="38"/>
      <c r="M11" s="38"/>
      <c r="N11" s="43"/>
      <c r="O11" s="39"/>
      <c r="P11" s="36"/>
      <c r="Q11" s="40"/>
      <c r="R11" s="38"/>
      <c r="S11" s="38"/>
    </row>
    <row r="12" spans="1:19" ht="30" x14ac:dyDescent="0.25">
      <c r="A12" s="39" t="s">
        <v>356</v>
      </c>
      <c r="B12" s="38" t="s">
        <v>239</v>
      </c>
      <c r="C12" s="43">
        <v>1777</v>
      </c>
      <c r="D12" s="43">
        <v>7546</v>
      </c>
      <c r="E12" s="43"/>
      <c r="F12" s="43"/>
      <c r="G12" s="43">
        <v>0</v>
      </c>
      <c r="H12" s="43">
        <v>21</v>
      </c>
      <c r="I12" s="121">
        <f t="shared" si="0"/>
        <v>4.5780000000000003</v>
      </c>
      <c r="J12" s="43"/>
      <c r="K12" s="38" t="s">
        <v>20</v>
      </c>
      <c r="L12" s="38" t="s">
        <v>21</v>
      </c>
      <c r="M12" s="38" t="s">
        <v>23</v>
      </c>
      <c r="N12" s="43">
        <v>167</v>
      </c>
      <c r="O12" s="39" t="s">
        <v>24</v>
      </c>
      <c r="P12" s="36">
        <v>2026</v>
      </c>
      <c r="Q12" s="40">
        <v>11071</v>
      </c>
      <c r="R12" s="38"/>
      <c r="S12" s="38"/>
    </row>
    <row r="13" spans="1:19" ht="30" x14ac:dyDescent="0.25">
      <c r="A13" s="39" t="s">
        <v>357</v>
      </c>
      <c r="B13" s="38" t="s">
        <v>239</v>
      </c>
      <c r="C13" s="43">
        <v>1777</v>
      </c>
      <c r="D13" s="43">
        <v>7546</v>
      </c>
      <c r="E13" s="43"/>
      <c r="F13" s="43"/>
      <c r="G13" s="43">
        <v>0</v>
      </c>
      <c r="H13" s="43">
        <v>21</v>
      </c>
      <c r="I13" s="121">
        <f t="shared" si="0"/>
        <v>4.5780000000000003</v>
      </c>
      <c r="J13" s="43"/>
      <c r="K13" s="38"/>
      <c r="L13" s="38"/>
      <c r="M13" s="38"/>
      <c r="N13" s="43"/>
      <c r="O13" s="39"/>
      <c r="P13" s="36"/>
      <c r="Q13" s="40"/>
      <c r="R13" s="38"/>
      <c r="S13" s="38"/>
    </row>
    <row r="14" spans="1:19" ht="30" x14ac:dyDescent="0.25">
      <c r="A14" s="39" t="s">
        <v>221</v>
      </c>
      <c r="B14" s="38" t="s">
        <v>239</v>
      </c>
      <c r="C14" s="43">
        <v>1777</v>
      </c>
      <c r="D14" s="43">
        <v>7546</v>
      </c>
      <c r="E14" s="43"/>
      <c r="F14" s="43"/>
      <c r="G14" s="43">
        <v>0</v>
      </c>
      <c r="H14" s="43">
        <v>21</v>
      </c>
      <c r="I14" s="121">
        <f t="shared" si="0"/>
        <v>4.5780000000000003</v>
      </c>
      <c r="J14" s="43"/>
      <c r="K14" s="38"/>
      <c r="L14" s="38"/>
      <c r="M14" s="38"/>
      <c r="N14" s="43"/>
      <c r="O14" s="39"/>
      <c r="P14" s="36"/>
      <c r="Q14" s="40"/>
      <c r="R14" s="38"/>
      <c r="S14" s="38"/>
    </row>
    <row r="15" spans="1:19" s="10" customFormat="1" ht="29.25" customHeight="1" x14ac:dyDescent="0.25">
      <c r="A15" s="39" t="s">
        <v>236</v>
      </c>
      <c r="B15" s="38" t="s">
        <v>27</v>
      </c>
      <c r="C15" s="38">
        <v>1892</v>
      </c>
      <c r="D15" s="38">
        <v>1007</v>
      </c>
      <c r="E15" s="36" t="s">
        <v>28</v>
      </c>
      <c r="F15" s="38">
        <v>1</v>
      </c>
      <c r="G15" s="38">
        <v>17</v>
      </c>
      <c r="H15" s="38">
        <v>10</v>
      </c>
      <c r="I15" s="41">
        <f>((F15*20)*20+G15*20+H15)*$B$1</f>
        <v>163.5</v>
      </c>
      <c r="J15" s="38"/>
      <c r="K15" s="38"/>
      <c r="L15" s="38"/>
      <c r="M15" s="38"/>
      <c r="N15" s="36">
        <v>14</v>
      </c>
      <c r="O15" s="36" t="s">
        <v>24</v>
      </c>
      <c r="P15" s="38">
        <v>3849</v>
      </c>
      <c r="Q15" s="45">
        <v>4535</v>
      </c>
      <c r="R15" s="38"/>
      <c r="S15" s="38"/>
    </row>
    <row r="16" spans="1:19" s="10" customFormat="1" ht="30" x14ac:dyDescent="0.25">
      <c r="A16" s="39" t="s">
        <v>236</v>
      </c>
      <c r="B16" s="38" t="s">
        <v>355</v>
      </c>
      <c r="C16" s="38">
        <v>1989</v>
      </c>
      <c r="D16" s="38">
        <v>1190</v>
      </c>
      <c r="E16" s="36">
        <v>1588</v>
      </c>
      <c r="F16" s="38">
        <v>0</v>
      </c>
      <c r="G16" s="38">
        <v>5</v>
      </c>
      <c r="H16" s="38">
        <v>5</v>
      </c>
      <c r="I16" s="41">
        <f>((F16*20)*20+G16*20+H16)*$B$1</f>
        <v>22.89</v>
      </c>
      <c r="J16" s="38" t="s">
        <v>29</v>
      </c>
      <c r="K16" s="38" t="s">
        <v>29</v>
      </c>
      <c r="L16" s="38" t="s">
        <v>29</v>
      </c>
      <c r="M16" s="38" t="s">
        <v>184</v>
      </c>
      <c r="N16" s="36">
        <v>103</v>
      </c>
      <c r="O16" s="36" t="s">
        <v>24</v>
      </c>
      <c r="P16" s="36">
        <v>7042</v>
      </c>
      <c r="Q16" s="46">
        <v>14143</v>
      </c>
      <c r="R16" s="38"/>
      <c r="S16" s="38"/>
    </row>
    <row r="17" spans="1:19" x14ac:dyDescent="0.25">
      <c r="A17" s="38"/>
      <c r="B17" s="38"/>
      <c r="C17" s="43"/>
      <c r="D17" s="43"/>
      <c r="E17" s="43"/>
      <c r="F17" s="43"/>
      <c r="G17" s="43"/>
      <c r="H17" s="43"/>
      <c r="I17" s="43"/>
      <c r="J17" s="121"/>
      <c r="K17" s="38"/>
      <c r="L17" s="38"/>
      <c r="M17" s="38"/>
      <c r="N17" s="43"/>
      <c r="O17" s="39"/>
      <c r="P17" s="36"/>
      <c r="Q17" s="39"/>
      <c r="R17" s="38"/>
      <c r="S17" s="38"/>
    </row>
    <row r="19" spans="1:19" ht="32.25" customHeight="1" x14ac:dyDescent="0.25">
      <c r="A19" s="39" t="s">
        <v>350</v>
      </c>
      <c r="B19" s="39" t="s">
        <v>209</v>
      </c>
      <c r="C19" s="43">
        <v>1796</v>
      </c>
      <c r="D19" s="43">
        <v>7642</v>
      </c>
      <c r="E19" s="43" t="s">
        <v>197</v>
      </c>
      <c r="F19" s="43"/>
      <c r="G19" s="43">
        <v>4</v>
      </c>
      <c r="H19" s="36">
        <v>5</v>
      </c>
      <c r="I19" s="121">
        <f>((F19*20)*20+G19*20+H19)*$B$1</f>
        <v>18.53</v>
      </c>
      <c r="J19" s="43" t="s">
        <v>46</v>
      </c>
      <c r="K19" s="39" t="s">
        <v>200</v>
      </c>
      <c r="L19" s="39" t="s">
        <v>201</v>
      </c>
      <c r="M19" s="39" t="s">
        <v>190</v>
      </c>
      <c r="N19" s="43"/>
      <c r="O19" s="39"/>
      <c r="P19" s="36"/>
      <c r="Q19" s="39"/>
      <c r="R19" s="38"/>
      <c r="S19" s="38"/>
    </row>
    <row r="20" spans="1:19" ht="33.75" customHeight="1" x14ac:dyDescent="0.25">
      <c r="A20" s="39" t="s">
        <v>350</v>
      </c>
      <c r="B20" s="39" t="s">
        <v>210</v>
      </c>
      <c r="C20" s="43">
        <v>1886</v>
      </c>
      <c r="D20" s="43" t="s">
        <v>198</v>
      </c>
      <c r="E20" s="43">
        <v>126</v>
      </c>
      <c r="F20" s="43"/>
      <c r="G20" s="43">
        <v>1</v>
      </c>
      <c r="H20" s="36">
        <v>1</v>
      </c>
      <c r="I20" s="121">
        <f t="shared" ref="I20:I28" si="1">((F20*20)*20+G20*20+H20)*$B$1</f>
        <v>4.5780000000000003</v>
      </c>
      <c r="J20" s="43" t="s">
        <v>202</v>
      </c>
      <c r="K20" s="39" t="s">
        <v>190</v>
      </c>
      <c r="L20" s="39" t="s">
        <v>351</v>
      </c>
      <c r="M20" s="39" t="s">
        <v>190</v>
      </c>
      <c r="N20" s="43">
        <v>172</v>
      </c>
      <c r="O20" s="39" t="s">
        <v>24</v>
      </c>
      <c r="P20" s="36">
        <v>5893</v>
      </c>
      <c r="Q20" s="39">
        <v>1933</v>
      </c>
      <c r="R20" s="38"/>
      <c r="S20" s="38"/>
    </row>
    <row r="21" spans="1:19" ht="35.25" customHeight="1" x14ac:dyDescent="0.25">
      <c r="A21" s="39" t="s">
        <v>350</v>
      </c>
      <c r="B21" s="39" t="s">
        <v>228</v>
      </c>
      <c r="C21" s="43">
        <v>1886</v>
      </c>
      <c r="D21" s="43">
        <v>7572</v>
      </c>
      <c r="E21" s="43">
        <v>112</v>
      </c>
      <c r="F21" s="43"/>
      <c r="G21" s="43">
        <v>0</v>
      </c>
      <c r="H21" s="36">
        <v>19</v>
      </c>
      <c r="I21" s="121">
        <f t="shared" si="1"/>
        <v>4.1420000000000003</v>
      </c>
      <c r="J21" s="43" t="s">
        <v>203</v>
      </c>
      <c r="K21" s="39" t="s">
        <v>204</v>
      </c>
      <c r="L21" s="39" t="s">
        <v>189</v>
      </c>
      <c r="M21" s="39" t="s">
        <v>190</v>
      </c>
      <c r="N21" s="43">
        <v>172</v>
      </c>
      <c r="O21" s="39" t="s">
        <v>24</v>
      </c>
      <c r="P21" s="36">
        <v>5893</v>
      </c>
      <c r="Q21" s="39">
        <v>1933</v>
      </c>
      <c r="R21" s="38"/>
      <c r="S21" s="38"/>
    </row>
    <row r="22" spans="1:19" ht="33.75" customHeight="1" x14ac:dyDescent="0.25">
      <c r="A22" s="39" t="s">
        <v>350</v>
      </c>
      <c r="B22" s="38" t="s">
        <v>30</v>
      </c>
      <c r="C22" s="43">
        <v>2014</v>
      </c>
      <c r="D22" s="43">
        <v>1246</v>
      </c>
      <c r="G22" s="43">
        <v>2</v>
      </c>
      <c r="H22" s="36">
        <v>15</v>
      </c>
      <c r="I22" s="121">
        <f t="shared" si="1"/>
        <v>11.99</v>
      </c>
      <c r="J22" s="43" t="s">
        <v>34</v>
      </c>
      <c r="K22" s="38" t="s">
        <v>34</v>
      </c>
      <c r="L22" s="38" t="s">
        <v>40</v>
      </c>
      <c r="M22" s="38" t="s">
        <v>43</v>
      </c>
      <c r="N22" s="43" t="s">
        <v>33</v>
      </c>
      <c r="O22" s="39" t="s">
        <v>53</v>
      </c>
      <c r="P22" s="42"/>
      <c r="Q22" s="39"/>
      <c r="R22" s="38"/>
      <c r="S22" s="38"/>
    </row>
    <row r="23" spans="1:19" ht="39" customHeight="1" x14ac:dyDescent="0.25">
      <c r="A23" s="39" t="s">
        <v>350</v>
      </c>
      <c r="B23" s="38" t="s">
        <v>30</v>
      </c>
      <c r="C23" s="43">
        <v>2014</v>
      </c>
      <c r="D23" s="43">
        <v>1248</v>
      </c>
      <c r="E23" s="43"/>
      <c r="F23" s="43"/>
      <c r="G23" s="43">
        <v>3</v>
      </c>
      <c r="H23" s="36">
        <v>13</v>
      </c>
      <c r="I23" s="121">
        <f t="shared" si="1"/>
        <v>15.914</v>
      </c>
      <c r="J23" s="43" t="s">
        <v>34</v>
      </c>
      <c r="K23" s="38" t="s">
        <v>34</v>
      </c>
      <c r="L23" s="38" t="s">
        <v>40</v>
      </c>
      <c r="M23" s="38" t="s">
        <v>43</v>
      </c>
      <c r="N23" s="43" t="s">
        <v>33</v>
      </c>
      <c r="O23" s="39" t="s">
        <v>53</v>
      </c>
      <c r="P23" s="36"/>
      <c r="Q23" s="39"/>
      <c r="R23" s="38"/>
      <c r="S23" s="38"/>
    </row>
    <row r="24" spans="1:19" ht="33" customHeight="1" x14ac:dyDescent="0.25">
      <c r="A24" s="39" t="s">
        <v>222</v>
      </c>
      <c r="B24" s="38" t="s">
        <v>30</v>
      </c>
      <c r="C24" s="43">
        <v>1993</v>
      </c>
      <c r="D24" s="43">
        <v>1247</v>
      </c>
      <c r="E24" s="43"/>
      <c r="F24" s="43"/>
      <c r="G24" s="43">
        <v>3</v>
      </c>
      <c r="H24" s="36">
        <v>9</v>
      </c>
      <c r="I24" s="121">
        <f t="shared" si="1"/>
        <v>15.042</v>
      </c>
      <c r="J24" s="43" t="s">
        <v>34</v>
      </c>
      <c r="K24" s="38" t="s">
        <v>34</v>
      </c>
      <c r="L24" s="38" t="s">
        <v>40</v>
      </c>
      <c r="M24" s="38" t="s">
        <v>43</v>
      </c>
      <c r="N24" s="43">
        <v>40</v>
      </c>
      <c r="O24" s="39" t="s">
        <v>24</v>
      </c>
      <c r="P24" s="36">
        <v>6015</v>
      </c>
      <c r="Q24" s="40">
        <v>10061</v>
      </c>
      <c r="R24" s="38"/>
      <c r="S24" s="38"/>
    </row>
    <row r="25" spans="1:19" ht="38.25" customHeight="1" x14ac:dyDescent="0.25">
      <c r="A25" s="39" t="s">
        <v>350</v>
      </c>
      <c r="B25" s="38" t="s">
        <v>30</v>
      </c>
      <c r="C25" s="43">
        <v>2033</v>
      </c>
      <c r="D25" s="43">
        <v>1249</v>
      </c>
      <c r="E25" s="43"/>
      <c r="F25" s="43"/>
      <c r="G25" s="43">
        <v>0</v>
      </c>
      <c r="H25" s="36">
        <v>18</v>
      </c>
      <c r="I25" s="121">
        <f t="shared" si="1"/>
        <v>3.9239999999999999</v>
      </c>
      <c r="J25" s="43" t="s">
        <v>34</v>
      </c>
      <c r="K25" s="38" t="s">
        <v>34</v>
      </c>
      <c r="L25" s="38" t="s">
        <v>40</v>
      </c>
      <c r="M25" s="38" t="s">
        <v>43</v>
      </c>
      <c r="N25" s="43">
        <v>40</v>
      </c>
      <c r="O25" s="39" t="s">
        <v>24</v>
      </c>
      <c r="P25" s="36">
        <v>12460</v>
      </c>
      <c r="Q25" s="40">
        <v>17836</v>
      </c>
      <c r="R25" s="38"/>
      <c r="S25" s="38"/>
    </row>
    <row r="26" spans="1:19" ht="32.25" customHeight="1" x14ac:dyDescent="0.25">
      <c r="A26" s="39" t="s">
        <v>350</v>
      </c>
      <c r="B26" s="38" t="s">
        <v>32</v>
      </c>
      <c r="C26" s="43">
        <v>2014</v>
      </c>
      <c r="D26" s="43">
        <v>707</v>
      </c>
      <c r="E26" s="43"/>
      <c r="F26" s="43"/>
      <c r="G26" s="122">
        <v>1</v>
      </c>
      <c r="H26" s="125">
        <v>18</v>
      </c>
      <c r="I26" s="121">
        <f t="shared" si="1"/>
        <v>8.2840000000000007</v>
      </c>
      <c r="J26" s="122" t="s">
        <v>36</v>
      </c>
      <c r="K26" s="12" t="s">
        <v>42</v>
      </c>
      <c r="L26" s="12" t="s">
        <v>42</v>
      </c>
      <c r="M26" s="12" t="s">
        <v>44</v>
      </c>
      <c r="N26" s="43">
        <v>26</v>
      </c>
      <c r="O26" s="39" t="s">
        <v>53</v>
      </c>
      <c r="P26" s="36"/>
      <c r="Q26" s="40"/>
      <c r="R26" s="38"/>
      <c r="S26" s="38"/>
    </row>
    <row r="27" spans="1:19" s="10" customFormat="1" ht="30" x14ac:dyDescent="0.25">
      <c r="A27" s="39" t="s">
        <v>222</v>
      </c>
      <c r="B27" s="38" t="s">
        <v>27</v>
      </c>
      <c r="C27" s="38">
        <v>1892</v>
      </c>
      <c r="D27" s="38">
        <v>1007</v>
      </c>
      <c r="E27" s="36" t="s">
        <v>28</v>
      </c>
      <c r="F27" s="38">
        <v>1</v>
      </c>
      <c r="G27" s="38">
        <v>17</v>
      </c>
      <c r="H27" s="36">
        <v>10</v>
      </c>
      <c r="I27" s="121">
        <f t="shared" si="1"/>
        <v>163.5</v>
      </c>
      <c r="J27" s="38" t="s">
        <v>37</v>
      </c>
      <c r="K27" s="38" t="s">
        <v>39</v>
      </c>
      <c r="L27" s="38" t="s">
        <v>237</v>
      </c>
      <c r="M27" s="38" t="s">
        <v>45</v>
      </c>
      <c r="N27" s="36">
        <v>14</v>
      </c>
      <c r="O27" s="36" t="s">
        <v>24</v>
      </c>
      <c r="P27" s="38">
        <v>3849</v>
      </c>
      <c r="Q27" s="45">
        <v>4535</v>
      </c>
      <c r="R27" s="38"/>
      <c r="S27" s="38"/>
    </row>
    <row r="28" spans="1:19" s="10" customFormat="1" ht="30" x14ac:dyDescent="0.25">
      <c r="A28" s="39" t="s">
        <v>350</v>
      </c>
      <c r="B28" s="38" t="s">
        <v>31</v>
      </c>
      <c r="C28" s="38">
        <v>2014</v>
      </c>
      <c r="D28" s="38">
        <v>1179</v>
      </c>
      <c r="E28" s="36">
        <v>1572</v>
      </c>
      <c r="F28" s="38">
        <v>0</v>
      </c>
      <c r="G28" s="38">
        <v>4</v>
      </c>
      <c r="H28" s="36">
        <v>7</v>
      </c>
      <c r="I28" s="121">
        <f t="shared" si="1"/>
        <v>18.966000000000001</v>
      </c>
      <c r="J28" s="38" t="s">
        <v>35</v>
      </c>
      <c r="K28" s="38" t="s">
        <v>38</v>
      </c>
      <c r="L28" s="38" t="s">
        <v>41</v>
      </c>
      <c r="M28" s="38" t="s">
        <v>35</v>
      </c>
      <c r="N28" s="36" t="s">
        <v>33</v>
      </c>
      <c r="O28" s="36" t="s">
        <v>53</v>
      </c>
      <c r="P28" s="38" t="s">
        <v>58</v>
      </c>
      <c r="Q28" s="45"/>
      <c r="R28" s="38"/>
      <c r="S28" s="38"/>
    </row>
    <row r="29" spans="1:19" ht="32.25" customHeight="1" x14ac:dyDescent="0.25">
      <c r="A29" s="39"/>
      <c r="B29" s="38"/>
      <c r="C29" s="43"/>
      <c r="D29" s="43"/>
      <c r="E29" s="43"/>
      <c r="F29" s="43">
        <f>SUM(F27:F28)</f>
        <v>1</v>
      </c>
      <c r="G29" s="122">
        <f>SUM(G19:G28)</f>
        <v>35</v>
      </c>
      <c r="H29" s="122">
        <f>SUM(H19:H28)</f>
        <v>115</v>
      </c>
      <c r="I29" s="121">
        <f>SUM(I19:I28)</f>
        <v>264.87</v>
      </c>
      <c r="J29" s="122"/>
      <c r="K29" s="12"/>
      <c r="L29" s="12"/>
      <c r="M29" s="12"/>
      <c r="N29" s="43"/>
      <c r="O29" s="39"/>
      <c r="P29" s="36"/>
      <c r="Q29" s="40"/>
      <c r="R29" s="38"/>
      <c r="S29" s="38"/>
    </row>
    <row r="30" spans="1:19" ht="32.25" customHeight="1" x14ac:dyDescent="0.25">
      <c r="A30" s="39"/>
      <c r="B30" s="38"/>
      <c r="C30" s="43"/>
      <c r="D30" s="43"/>
      <c r="E30" s="43"/>
      <c r="F30" s="43">
        <v>1</v>
      </c>
      <c r="G30" s="122">
        <v>40</v>
      </c>
      <c r="H30" s="122">
        <v>15</v>
      </c>
      <c r="I30" s="121"/>
      <c r="J30" s="122"/>
      <c r="K30" s="12"/>
      <c r="L30" s="12"/>
      <c r="M30" s="12"/>
      <c r="N30" s="43"/>
      <c r="O30" s="39"/>
      <c r="P30" s="36"/>
      <c r="Q30" s="40"/>
      <c r="R30" s="38"/>
      <c r="S30" s="38"/>
    </row>
    <row r="31" spans="1:19" ht="14.25" customHeight="1" x14ac:dyDescent="0.25">
      <c r="A31" s="39"/>
      <c r="B31" s="39"/>
      <c r="C31" s="43"/>
      <c r="D31" s="43"/>
      <c r="E31" s="43"/>
      <c r="F31" s="43">
        <v>3</v>
      </c>
      <c r="G31" s="43">
        <v>0</v>
      </c>
      <c r="H31" s="43">
        <v>15</v>
      </c>
      <c r="I31" s="121"/>
      <c r="J31" s="43"/>
      <c r="K31" s="39"/>
      <c r="L31" s="39"/>
      <c r="M31" s="39"/>
      <c r="N31" s="43"/>
      <c r="O31" s="39"/>
      <c r="P31" s="36"/>
      <c r="Q31" s="39"/>
      <c r="R31" s="38"/>
      <c r="S31" s="38"/>
    </row>
    <row r="32" spans="1:19" ht="30" x14ac:dyDescent="0.25">
      <c r="A32" s="39" t="s">
        <v>46</v>
      </c>
      <c r="B32" s="39" t="s">
        <v>213</v>
      </c>
      <c r="C32" s="43">
        <v>1796</v>
      </c>
      <c r="D32" s="43">
        <v>7637</v>
      </c>
      <c r="E32" s="43">
        <v>844</v>
      </c>
      <c r="F32" s="43"/>
      <c r="G32" s="43">
        <v>2</v>
      </c>
      <c r="H32" s="43">
        <v>0</v>
      </c>
      <c r="I32" s="121">
        <f t="shared" ref="I32:I39" si="2">((F32*20)*20+G32*20+H32)*$B$1</f>
        <v>8.7200000000000006</v>
      </c>
      <c r="J32" s="43" t="s">
        <v>20</v>
      </c>
      <c r="K32" s="39" t="s">
        <v>191</v>
      </c>
      <c r="L32" s="39" t="s">
        <v>206</v>
      </c>
      <c r="M32" s="39" t="s">
        <v>190</v>
      </c>
      <c r="N32" s="43">
        <v>15</v>
      </c>
      <c r="O32" s="39"/>
      <c r="P32" s="36"/>
      <c r="Q32" s="39"/>
      <c r="R32" s="38"/>
      <c r="S32" s="38"/>
    </row>
    <row r="33" spans="1:19" ht="30" x14ac:dyDescent="0.25">
      <c r="A33" s="39" t="s">
        <v>46</v>
      </c>
      <c r="B33" s="39" t="s">
        <v>214</v>
      </c>
      <c r="C33" s="43">
        <v>1867</v>
      </c>
      <c r="D33" s="43" t="s">
        <v>199</v>
      </c>
      <c r="E33" s="43">
        <v>868</v>
      </c>
      <c r="F33" s="43"/>
      <c r="G33" s="43">
        <v>1</v>
      </c>
      <c r="H33" s="43">
        <v>11</v>
      </c>
      <c r="I33" s="121">
        <f t="shared" si="2"/>
        <v>6.758</v>
      </c>
      <c r="J33" s="43" t="s">
        <v>204</v>
      </c>
      <c r="K33" s="39" t="s">
        <v>20</v>
      </c>
      <c r="L33" s="39" t="s">
        <v>205</v>
      </c>
      <c r="M33" s="39" t="s">
        <v>190</v>
      </c>
      <c r="N33" s="43">
        <v>171</v>
      </c>
      <c r="O33" s="39"/>
      <c r="P33" s="36">
        <v>8061</v>
      </c>
      <c r="Q33" s="39">
        <v>1941</v>
      </c>
      <c r="R33" s="38"/>
      <c r="S33" s="38"/>
    </row>
    <row r="34" spans="1:19" ht="31.5" customHeight="1" x14ac:dyDescent="0.25">
      <c r="A34" s="39" t="s">
        <v>46</v>
      </c>
      <c r="B34" s="39" t="s">
        <v>215</v>
      </c>
      <c r="C34" s="43">
        <v>1773</v>
      </c>
      <c r="D34" s="43">
        <v>7796</v>
      </c>
      <c r="E34" s="43">
        <v>110</v>
      </c>
      <c r="F34" s="43"/>
      <c r="G34" s="43">
        <v>1</v>
      </c>
      <c r="H34" s="43">
        <v>3</v>
      </c>
      <c r="I34" s="121">
        <f t="shared" si="2"/>
        <v>5.0140000000000002</v>
      </c>
      <c r="J34" s="43" t="s">
        <v>190</v>
      </c>
      <c r="K34" s="39" t="s">
        <v>207</v>
      </c>
      <c r="L34" s="39" t="s">
        <v>190</v>
      </c>
      <c r="M34" s="39" t="s">
        <v>208</v>
      </c>
      <c r="N34" s="43">
        <v>82</v>
      </c>
      <c r="O34" s="39"/>
      <c r="P34" s="36">
        <v>8869</v>
      </c>
      <c r="Q34" s="39">
        <v>1977</v>
      </c>
      <c r="R34" s="38"/>
      <c r="S34" s="38"/>
    </row>
    <row r="35" spans="1:19" ht="30" x14ac:dyDescent="0.25">
      <c r="A35" s="39" t="s">
        <v>46</v>
      </c>
      <c r="B35" s="39" t="s">
        <v>186</v>
      </c>
      <c r="C35" s="43">
        <v>1887</v>
      </c>
      <c r="D35" s="43" t="s">
        <v>188</v>
      </c>
      <c r="E35" s="43">
        <v>871</v>
      </c>
      <c r="F35" s="43"/>
      <c r="G35" s="43">
        <v>1</v>
      </c>
      <c r="H35" s="43">
        <v>10</v>
      </c>
      <c r="I35" s="121">
        <f t="shared" si="2"/>
        <v>6.54</v>
      </c>
      <c r="J35" s="43" t="s">
        <v>190</v>
      </c>
      <c r="K35" s="39" t="s">
        <v>207</v>
      </c>
      <c r="L35" s="39" t="s">
        <v>190</v>
      </c>
      <c r="M35" s="39" t="s">
        <v>195</v>
      </c>
      <c r="N35" s="43" t="s">
        <v>223</v>
      </c>
      <c r="O35" s="39" t="s">
        <v>53</v>
      </c>
      <c r="P35" s="36"/>
      <c r="Q35" s="39"/>
      <c r="R35" s="38"/>
      <c r="S35" s="38"/>
    </row>
    <row r="36" spans="1:19" x14ac:dyDescent="0.25">
      <c r="A36" s="38" t="s">
        <v>46</v>
      </c>
      <c r="B36" s="38" t="s">
        <v>47</v>
      </c>
      <c r="C36" s="43">
        <v>2014</v>
      </c>
      <c r="D36" s="43">
        <v>735</v>
      </c>
      <c r="E36" s="43"/>
      <c r="F36" s="43"/>
      <c r="G36" s="43">
        <v>11</v>
      </c>
      <c r="H36" s="43">
        <v>14</v>
      </c>
      <c r="I36" s="121">
        <f t="shared" si="2"/>
        <v>51.012</v>
      </c>
      <c r="J36" s="43" t="s">
        <v>179</v>
      </c>
      <c r="K36" s="38" t="s">
        <v>20</v>
      </c>
      <c r="L36" s="38" t="s">
        <v>180</v>
      </c>
      <c r="M36" s="38" t="s">
        <v>183</v>
      </c>
      <c r="N36" s="43" t="s">
        <v>33</v>
      </c>
      <c r="O36" s="39" t="s">
        <v>53</v>
      </c>
      <c r="P36" s="36"/>
      <c r="Q36" s="40"/>
      <c r="R36" s="38"/>
      <c r="S36" s="38"/>
    </row>
    <row r="37" spans="1:19" ht="30" x14ac:dyDescent="0.25">
      <c r="A37" s="38" t="s">
        <v>46</v>
      </c>
      <c r="B37" s="38" t="s">
        <v>47</v>
      </c>
      <c r="C37" s="43">
        <v>2014</v>
      </c>
      <c r="D37" s="43">
        <v>7445</v>
      </c>
      <c r="E37" s="43"/>
      <c r="F37" s="43"/>
      <c r="G37" s="43">
        <v>5</v>
      </c>
      <c r="H37" s="43">
        <v>1</v>
      </c>
      <c r="I37" s="121">
        <f t="shared" si="2"/>
        <v>22.018000000000001</v>
      </c>
      <c r="J37" s="43" t="s">
        <v>20</v>
      </c>
      <c r="K37" s="38" t="s">
        <v>182</v>
      </c>
      <c r="L37" s="38" t="s">
        <v>181</v>
      </c>
      <c r="M37" s="38" t="s">
        <v>183</v>
      </c>
      <c r="N37" s="43" t="s">
        <v>33</v>
      </c>
      <c r="O37" s="39" t="s">
        <v>53</v>
      </c>
      <c r="P37" s="36"/>
      <c r="Q37" s="40"/>
      <c r="R37" s="38"/>
      <c r="S37" s="38"/>
    </row>
    <row r="38" spans="1:19" s="10" customFormat="1" ht="45" x14ac:dyDescent="0.25">
      <c r="A38" s="38" t="s">
        <v>46</v>
      </c>
      <c r="B38" s="38" t="s">
        <v>48</v>
      </c>
      <c r="C38" s="36" t="s">
        <v>234</v>
      </c>
      <c r="D38" s="38">
        <v>790</v>
      </c>
      <c r="E38" s="36">
        <v>1544</v>
      </c>
      <c r="F38" s="38">
        <v>0</v>
      </c>
      <c r="G38" s="38">
        <v>12</v>
      </c>
      <c r="H38" s="38">
        <v>12</v>
      </c>
      <c r="I38" s="121">
        <f t="shared" si="2"/>
        <v>54.936</v>
      </c>
      <c r="J38" s="38" t="s">
        <v>20</v>
      </c>
      <c r="K38" s="38" t="s">
        <v>175</v>
      </c>
      <c r="L38" s="38" t="s">
        <v>176</v>
      </c>
      <c r="M38" s="38" t="s">
        <v>175</v>
      </c>
      <c r="N38" s="36" t="s">
        <v>232</v>
      </c>
      <c r="O38" s="36" t="s">
        <v>53</v>
      </c>
      <c r="P38" s="38" t="s">
        <v>58</v>
      </c>
      <c r="Q38" s="45"/>
      <c r="R38" s="38"/>
      <c r="S38" s="38"/>
    </row>
    <row r="39" spans="1:19" s="10" customFormat="1" ht="45" x14ac:dyDescent="0.25">
      <c r="A39" s="38" t="s">
        <v>46</v>
      </c>
      <c r="B39" s="38" t="s">
        <v>49</v>
      </c>
      <c r="C39" s="36" t="s">
        <v>234</v>
      </c>
      <c r="D39" s="38">
        <v>792</v>
      </c>
      <c r="E39" s="36">
        <v>1541</v>
      </c>
      <c r="F39" s="38">
        <v>1</v>
      </c>
      <c r="G39" s="38">
        <v>3</v>
      </c>
      <c r="H39" s="38">
        <v>3</v>
      </c>
      <c r="I39" s="121">
        <f t="shared" si="2"/>
        <v>100.934</v>
      </c>
      <c r="J39" s="38" t="s">
        <v>178</v>
      </c>
      <c r="K39" s="38" t="s">
        <v>177</v>
      </c>
      <c r="L39" s="38" t="s">
        <v>50</v>
      </c>
      <c r="M39" s="38" t="s">
        <v>51</v>
      </c>
      <c r="N39" s="36" t="s">
        <v>232</v>
      </c>
      <c r="O39" s="36" t="s">
        <v>53</v>
      </c>
      <c r="P39" s="38" t="s">
        <v>58</v>
      </c>
      <c r="Q39" s="45"/>
      <c r="R39" s="38"/>
      <c r="S39" s="38"/>
    </row>
    <row r="40" spans="1:19" x14ac:dyDescent="0.25">
      <c r="F40" s="119">
        <f>SUM(F38:F39)</f>
        <v>1</v>
      </c>
      <c r="G40" s="119">
        <f>SUM(G32:G39)</f>
        <v>36</v>
      </c>
      <c r="H40" s="119">
        <f>SUM(H32:H39)</f>
        <v>54</v>
      </c>
      <c r="I40" s="124">
        <f>SUM(I32:I39)</f>
        <v>255.93199999999999</v>
      </c>
    </row>
    <row r="41" spans="1:19" x14ac:dyDescent="0.25">
      <c r="F41" s="119">
        <v>2</v>
      </c>
      <c r="G41" s="119">
        <v>18</v>
      </c>
      <c r="H41" s="119">
        <v>14</v>
      </c>
    </row>
    <row r="42" spans="1:19" x14ac:dyDescent="0.25">
      <c r="F42" s="43"/>
      <c r="G42" s="43"/>
      <c r="H42" s="43"/>
    </row>
    <row r="46" spans="1:19" x14ac:dyDescent="0.25">
      <c r="A46" s="145" t="s">
        <v>219</v>
      </c>
      <c r="B46" s="145"/>
      <c r="C46" s="145"/>
      <c r="D46" s="145"/>
      <c r="E46" s="145"/>
      <c r="F46" s="145"/>
      <c r="G46" s="145"/>
      <c r="H46" s="145"/>
    </row>
    <row r="47" spans="1:19" x14ac:dyDescent="0.25">
      <c r="B47" s="32" t="s">
        <v>216</v>
      </c>
      <c r="C47" s="118"/>
      <c r="D47" s="119">
        <v>7570</v>
      </c>
      <c r="E47" s="119">
        <v>120</v>
      </c>
    </row>
    <row r="48" spans="1:19" x14ac:dyDescent="0.25">
      <c r="B48" s="32" t="s">
        <v>217</v>
      </c>
      <c r="C48" s="118">
        <v>1843</v>
      </c>
      <c r="D48" s="119">
        <v>7578</v>
      </c>
      <c r="E48" s="119">
        <v>114</v>
      </c>
      <c r="G48" s="119">
        <v>0</v>
      </c>
      <c r="H48" s="123">
        <v>11.5</v>
      </c>
      <c r="I48" s="124">
        <f>(G48*20+H48)*$B$1</f>
        <v>2.5070000000000001</v>
      </c>
    </row>
    <row r="49" spans="2:9" x14ac:dyDescent="0.25">
      <c r="B49" s="32"/>
      <c r="C49" s="118">
        <v>1843</v>
      </c>
      <c r="D49" s="119">
        <v>7579</v>
      </c>
      <c r="H49" s="119">
        <v>7</v>
      </c>
      <c r="I49" s="124">
        <f>(G49*20+H49)*$B$1</f>
        <v>1.526</v>
      </c>
    </row>
    <row r="50" spans="2:9" x14ac:dyDescent="0.25">
      <c r="B50" s="32" t="s">
        <v>218</v>
      </c>
      <c r="C50" s="118">
        <v>2034</v>
      </c>
      <c r="D50" s="119">
        <v>7792</v>
      </c>
      <c r="G50" s="119">
        <v>1</v>
      </c>
      <c r="H50" s="119">
        <v>3</v>
      </c>
      <c r="I50" s="124">
        <f>(G50*20+H50)*$B$1</f>
        <v>5.0140000000000002</v>
      </c>
    </row>
    <row r="51" spans="2:9" x14ac:dyDescent="0.25">
      <c r="B51" s="32" t="s">
        <v>230</v>
      </c>
      <c r="C51" s="119">
        <v>1993</v>
      </c>
      <c r="D51" s="118">
        <v>7528</v>
      </c>
      <c r="G51" s="118">
        <v>2</v>
      </c>
      <c r="H51" s="118">
        <v>15</v>
      </c>
      <c r="I51" s="118">
        <v>12</v>
      </c>
    </row>
    <row r="52" spans="2:9" x14ac:dyDescent="0.25">
      <c r="C52" s="119">
        <v>1993</v>
      </c>
      <c r="D52" s="119">
        <v>7529</v>
      </c>
      <c r="G52" s="119">
        <v>0</v>
      </c>
      <c r="H52" s="119">
        <v>18</v>
      </c>
      <c r="I52" s="119">
        <v>4</v>
      </c>
    </row>
    <row r="53" spans="2:9" x14ac:dyDescent="0.25">
      <c r="C53" s="119">
        <v>1993</v>
      </c>
      <c r="D53" s="119">
        <v>7530</v>
      </c>
      <c r="G53" s="119">
        <v>1</v>
      </c>
      <c r="H53" s="119">
        <v>12</v>
      </c>
      <c r="I53" s="119">
        <v>7</v>
      </c>
    </row>
  </sheetData>
  <mergeCells count="3">
    <mergeCell ref="J2:M2"/>
    <mergeCell ref="A46:H46"/>
    <mergeCell ref="F2:H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3" workbookViewId="0">
      <selection activeCell="B28" sqref="B28"/>
    </sheetView>
  </sheetViews>
  <sheetFormatPr defaultRowHeight="15" x14ac:dyDescent="0.25"/>
  <cols>
    <col min="2" max="2" width="13.28515625" bestFit="1" customWidth="1"/>
    <col min="3" max="3" width="12.5703125" bestFit="1" customWidth="1"/>
    <col min="4" max="4" width="24.28515625" bestFit="1" customWidth="1"/>
    <col min="5" max="5" width="10.5703125" bestFit="1" customWidth="1"/>
    <col min="6" max="6" width="10.85546875" bestFit="1" customWidth="1"/>
    <col min="7" max="7" width="10.5703125" bestFit="1" customWidth="1"/>
    <col min="8" max="8" width="18" bestFit="1" customWidth="1"/>
    <col min="9" max="9" width="18.42578125" bestFit="1" customWidth="1"/>
    <col min="10" max="10" width="18.140625" bestFit="1" customWidth="1"/>
    <col min="11" max="11" width="23.7109375" bestFit="1" customWidth="1"/>
  </cols>
  <sheetData>
    <row r="1" spans="1:11" x14ac:dyDescent="0.25">
      <c r="A1" s="3" t="s">
        <v>4</v>
      </c>
      <c r="B1" s="3" t="s">
        <v>5</v>
      </c>
      <c r="C1" s="3" t="s">
        <v>6</v>
      </c>
      <c r="D1" s="6" t="s">
        <v>54</v>
      </c>
      <c r="E1" s="6" t="s">
        <v>55</v>
      </c>
      <c r="F1" s="6" t="s">
        <v>54</v>
      </c>
      <c r="G1" s="6" t="s">
        <v>55</v>
      </c>
      <c r="H1" s="6" t="s">
        <v>94</v>
      </c>
      <c r="I1" s="6" t="s">
        <v>95</v>
      </c>
      <c r="J1" s="6" t="s">
        <v>90</v>
      </c>
    </row>
    <row r="2" spans="1:11" x14ac:dyDescent="0.25">
      <c r="A2" s="4">
        <v>1839</v>
      </c>
      <c r="B2" s="4">
        <v>7545</v>
      </c>
      <c r="C2" s="4"/>
      <c r="D2" s="4">
        <v>2026</v>
      </c>
      <c r="E2" s="7">
        <v>9531</v>
      </c>
      <c r="J2" t="s">
        <v>65</v>
      </c>
    </row>
    <row r="3" spans="1:11" x14ac:dyDescent="0.25">
      <c r="A3" s="4">
        <v>1777</v>
      </c>
      <c r="B3" s="4">
        <v>7546</v>
      </c>
      <c r="C3" s="4"/>
      <c r="D3" s="4">
        <v>2026</v>
      </c>
      <c r="E3" s="7">
        <v>9531</v>
      </c>
      <c r="J3" t="s">
        <v>71</v>
      </c>
    </row>
    <row r="4" spans="1:11" x14ac:dyDescent="0.25">
      <c r="A4" s="4">
        <v>1892</v>
      </c>
      <c r="B4" s="4">
        <v>1007</v>
      </c>
      <c r="C4" s="5" t="s">
        <v>28</v>
      </c>
      <c r="D4" s="4">
        <v>3849</v>
      </c>
      <c r="E4" s="7">
        <v>4535</v>
      </c>
      <c r="J4" t="s">
        <v>99</v>
      </c>
    </row>
    <row r="5" spans="1:11" x14ac:dyDescent="0.25">
      <c r="A5" s="4">
        <v>1889</v>
      </c>
      <c r="B5" s="4">
        <v>1190</v>
      </c>
      <c r="C5" s="5">
        <v>1588</v>
      </c>
      <c r="D5" s="5">
        <v>7042</v>
      </c>
      <c r="E5" s="8">
        <v>14138</v>
      </c>
      <c r="H5" t="s">
        <v>97</v>
      </c>
      <c r="I5" t="s">
        <v>102</v>
      </c>
      <c r="J5" t="s">
        <v>86</v>
      </c>
    </row>
    <row r="6" spans="1:11" x14ac:dyDescent="0.25">
      <c r="A6" s="4">
        <v>1889</v>
      </c>
      <c r="B6" s="5">
        <v>1187</v>
      </c>
      <c r="C6" s="5"/>
      <c r="D6" s="5">
        <v>7042</v>
      </c>
      <c r="E6" s="8">
        <v>14138</v>
      </c>
      <c r="H6" t="s">
        <v>97</v>
      </c>
      <c r="I6" t="s">
        <v>102</v>
      </c>
      <c r="J6" t="s">
        <v>101</v>
      </c>
    </row>
    <row r="7" spans="1:11" x14ac:dyDescent="0.25">
      <c r="A7" s="4">
        <v>2014</v>
      </c>
      <c r="B7" s="4">
        <v>1246</v>
      </c>
      <c r="C7" s="5"/>
      <c r="D7" s="4" t="s">
        <v>58</v>
      </c>
      <c r="E7" s="4"/>
    </row>
    <row r="8" spans="1:11" x14ac:dyDescent="0.25">
      <c r="A8" s="4">
        <v>2014</v>
      </c>
      <c r="B8" s="4">
        <v>1248</v>
      </c>
      <c r="C8" s="5"/>
      <c r="D8" s="4" t="s">
        <v>58</v>
      </c>
      <c r="E8" s="4"/>
    </row>
    <row r="9" spans="1:11" x14ac:dyDescent="0.25">
      <c r="A9" s="4">
        <v>1993</v>
      </c>
      <c r="B9" s="4">
        <v>1247</v>
      </c>
      <c r="C9" s="5"/>
      <c r="D9" s="4">
        <v>6015</v>
      </c>
      <c r="E9" s="7">
        <v>10063</v>
      </c>
      <c r="H9" t="s">
        <v>97</v>
      </c>
      <c r="I9" t="s">
        <v>108</v>
      </c>
    </row>
    <row r="10" spans="1:11" x14ac:dyDescent="0.25">
      <c r="A10" s="4">
        <v>2033</v>
      </c>
      <c r="B10" s="4">
        <v>1249</v>
      </c>
      <c r="C10" s="5"/>
      <c r="D10" s="4">
        <v>12460</v>
      </c>
      <c r="E10" s="7">
        <v>17836</v>
      </c>
      <c r="K10" t="s">
        <v>113</v>
      </c>
    </row>
    <row r="11" spans="1:11" x14ac:dyDescent="0.25">
      <c r="A11" s="4">
        <v>2034</v>
      </c>
      <c r="B11" s="4">
        <v>7792</v>
      </c>
      <c r="C11" s="5"/>
      <c r="D11" s="4">
        <v>12460</v>
      </c>
      <c r="E11" s="7">
        <v>17836</v>
      </c>
      <c r="K11" t="s">
        <v>113</v>
      </c>
    </row>
    <row r="12" spans="1:11" x14ac:dyDescent="0.25">
      <c r="A12" s="4">
        <v>2014</v>
      </c>
      <c r="B12" s="4">
        <v>1179</v>
      </c>
      <c r="C12" s="5"/>
      <c r="D12" s="4" t="s">
        <v>58</v>
      </c>
      <c r="E12" s="4"/>
    </row>
    <row r="13" spans="1:11" x14ac:dyDescent="0.25">
      <c r="A13" s="4">
        <v>2014</v>
      </c>
      <c r="B13" s="4">
        <v>707</v>
      </c>
      <c r="C13" s="5"/>
      <c r="D13" s="4" t="s">
        <v>58</v>
      </c>
      <c r="E13" s="4"/>
    </row>
    <row r="14" spans="1:11" x14ac:dyDescent="0.25">
      <c r="A14" s="4">
        <v>2014</v>
      </c>
      <c r="B14" s="4">
        <v>735</v>
      </c>
      <c r="C14" s="5"/>
      <c r="D14" s="4" t="s">
        <v>58</v>
      </c>
      <c r="E14" s="4"/>
    </row>
    <row r="15" spans="1:11" x14ac:dyDescent="0.25">
      <c r="A15" s="4">
        <v>2014</v>
      </c>
      <c r="B15" s="4">
        <v>7445</v>
      </c>
      <c r="C15" s="5"/>
      <c r="D15" s="4" t="s">
        <v>58</v>
      </c>
      <c r="E15" s="4"/>
    </row>
    <row r="16" spans="1:11" x14ac:dyDescent="0.25">
      <c r="A16" s="4">
        <v>2014</v>
      </c>
      <c r="B16" s="4">
        <v>790</v>
      </c>
      <c r="C16" s="5"/>
      <c r="D16" s="4" t="s">
        <v>58</v>
      </c>
      <c r="E16" s="4"/>
    </row>
    <row r="17" spans="1:10" x14ac:dyDescent="0.25">
      <c r="A17" s="4">
        <v>2014</v>
      </c>
      <c r="B17" s="4">
        <v>792</v>
      </c>
      <c r="C17" s="5"/>
      <c r="D17" s="4" t="s">
        <v>58</v>
      </c>
      <c r="E17" s="4"/>
    </row>
    <row r="18" spans="1:10" x14ac:dyDescent="0.25">
      <c r="A18" s="16">
        <v>1773</v>
      </c>
      <c r="B18" s="5">
        <v>7795</v>
      </c>
      <c r="C18" s="5"/>
      <c r="D18" s="5">
        <v>8869</v>
      </c>
      <c r="E18" s="5" t="s">
        <v>56</v>
      </c>
      <c r="H18" t="s">
        <v>97</v>
      </c>
      <c r="I18" t="s">
        <v>100</v>
      </c>
      <c r="J18" t="s">
        <v>76</v>
      </c>
    </row>
    <row r="19" spans="1:10" x14ac:dyDescent="0.25">
      <c r="A19" s="16">
        <v>1773</v>
      </c>
      <c r="B19" s="5">
        <v>7796</v>
      </c>
      <c r="C19" s="5"/>
      <c r="D19" s="5">
        <v>8869</v>
      </c>
      <c r="E19" s="5" t="s">
        <v>56</v>
      </c>
      <c r="H19" t="s">
        <v>97</v>
      </c>
      <c r="I19" t="s">
        <v>100</v>
      </c>
      <c r="J19" t="s">
        <v>77</v>
      </c>
    </row>
    <row r="20" spans="1:10" x14ac:dyDescent="0.25">
      <c r="A20" s="5">
        <v>1867</v>
      </c>
      <c r="B20" s="5">
        <v>7576</v>
      </c>
      <c r="C20" s="5"/>
      <c r="D20" s="5">
        <v>8061</v>
      </c>
      <c r="E20" s="8">
        <v>15241</v>
      </c>
      <c r="H20" t="s">
        <v>97</v>
      </c>
      <c r="I20" t="s">
        <v>96</v>
      </c>
      <c r="J20" t="s">
        <v>98</v>
      </c>
    </row>
    <row r="21" spans="1:10" x14ac:dyDescent="0.25">
      <c r="A21" s="5">
        <v>1867</v>
      </c>
      <c r="B21" s="5">
        <v>7577</v>
      </c>
      <c r="C21" s="5"/>
      <c r="D21" s="5">
        <v>8061</v>
      </c>
      <c r="E21" s="8">
        <v>15241</v>
      </c>
      <c r="H21" t="s">
        <v>97</v>
      </c>
      <c r="I21" t="s">
        <v>96</v>
      </c>
    </row>
    <row r="22" spans="1:10" x14ac:dyDescent="0.25">
      <c r="A22" s="22">
        <v>1886</v>
      </c>
      <c r="B22" s="5">
        <v>7566</v>
      </c>
      <c r="C22" s="5"/>
      <c r="D22" s="5">
        <v>5893</v>
      </c>
      <c r="E22" s="8">
        <v>12277</v>
      </c>
      <c r="F22">
        <v>7768</v>
      </c>
      <c r="G22">
        <v>1934</v>
      </c>
      <c r="H22" t="s">
        <v>97</v>
      </c>
      <c r="I22" t="s">
        <v>103</v>
      </c>
      <c r="J22" t="s">
        <v>66</v>
      </c>
    </row>
    <row r="23" spans="1:10" x14ac:dyDescent="0.25">
      <c r="A23" s="22">
        <v>1886</v>
      </c>
      <c r="B23" s="5">
        <v>7572</v>
      </c>
      <c r="C23" s="5"/>
      <c r="D23" s="5">
        <v>5893</v>
      </c>
      <c r="E23" s="8">
        <v>12277</v>
      </c>
      <c r="F23">
        <v>7768</v>
      </c>
      <c r="G23">
        <v>1934</v>
      </c>
      <c r="H23" t="s">
        <v>97</v>
      </c>
      <c r="I23" t="s">
        <v>103</v>
      </c>
      <c r="J23" t="s">
        <v>69</v>
      </c>
    </row>
    <row r="24" spans="1:10" x14ac:dyDescent="0.25">
      <c r="A24" s="22">
        <v>1886</v>
      </c>
      <c r="B24" s="5" t="s">
        <v>57</v>
      </c>
      <c r="C24" s="5"/>
      <c r="D24" s="5">
        <v>5893</v>
      </c>
      <c r="E24" s="8">
        <v>12277</v>
      </c>
      <c r="F24">
        <v>7768</v>
      </c>
      <c r="G24">
        <v>1934</v>
      </c>
      <c r="H24" t="s">
        <v>97</v>
      </c>
      <c r="I24" t="s">
        <v>103</v>
      </c>
      <c r="J24" t="s">
        <v>73</v>
      </c>
    </row>
    <row r="25" spans="1:10" x14ac:dyDescent="0.25">
      <c r="A25" s="22">
        <v>1886</v>
      </c>
      <c r="B25" s="5">
        <v>7586</v>
      </c>
      <c r="C25" s="5"/>
      <c r="D25" s="5">
        <v>5893</v>
      </c>
      <c r="E25" s="8">
        <v>12277</v>
      </c>
      <c r="F25">
        <v>7768</v>
      </c>
      <c r="G25">
        <v>1934</v>
      </c>
      <c r="H25" t="s">
        <v>97</v>
      </c>
      <c r="I25" t="s">
        <v>103</v>
      </c>
      <c r="J25" t="s">
        <v>74</v>
      </c>
    </row>
    <row r="26" spans="1:10" x14ac:dyDescent="0.25">
      <c r="A26" s="22">
        <v>1886</v>
      </c>
      <c r="B26" s="5">
        <v>7574</v>
      </c>
      <c r="C26" s="5"/>
      <c r="D26" s="5">
        <v>5893</v>
      </c>
      <c r="E26" s="8">
        <v>12277</v>
      </c>
      <c r="F26">
        <v>7768</v>
      </c>
      <c r="G26">
        <v>1934</v>
      </c>
      <c r="H26" t="s">
        <v>97</v>
      </c>
      <c r="I26" t="s">
        <v>103</v>
      </c>
      <c r="J26" t="s">
        <v>69</v>
      </c>
    </row>
    <row r="27" spans="1:10" ht="45" x14ac:dyDescent="0.25">
      <c r="A27" s="5">
        <v>1843</v>
      </c>
      <c r="B27" s="5">
        <v>7578</v>
      </c>
      <c r="C27" s="5"/>
      <c r="D27" s="5">
        <v>12868</v>
      </c>
      <c r="E27" s="8">
        <v>22948</v>
      </c>
      <c r="H27" s="2" t="s">
        <v>104</v>
      </c>
      <c r="I27" s="2" t="s">
        <v>107</v>
      </c>
      <c r="J27" t="s">
        <v>105</v>
      </c>
    </row>
    <row r="28" spans="1:10" ht="45" x14ac:dyDescent="0.25">
      <c r="A28" s="5">
        <v>1843</v>
      </c>
      <c r="B28" s="5">
        <v>7579</v>
      </c>
      <c r="C28" s="5"/>
      <c r="D28" s="5">
        <v>12868</v>
      </c>
      <c r="E28" s="8">
        <v>22948</v>
      </c>
      <c r="H28" s="2" t="s">
        <v>104</v>
      </c>
      <c r="J28" t="s">
        <v>106</v>
      </c>
    </row>
    <row r="29" spans="1:10" x14ac:dyDescent="0.25">
      <c r="A29" s="4">
        <v>1993</v>
      </c>
      <c r="B29" s="5">
        <v>7528</v>
      </c>
      <c r="C29" s="5"/>
      <c r="D29" s="5">
        <v>7427</v>
      </c>
      <c r="E29" s="8">
        <v>12368</v>
      </c>
      <c r="H29" t="s">
        <v>97</v>
      </c>
      <c r="I29" t="s">
        <v>112</v>
      </c>
      <c r="J29" t="s">
        <v>109</v>
      </c>
    </row>
    <row r="30" spans="1:10" x14ac:dyDescent="0.25">
      <c r="A30" s="4">
        <v>1993</v>
      </c>
      <c r="B30" s="5">
        <v>7529</v>
      </c>
      <c r="C30" s="5"/>
      <c r="D30" s="5">
        <v>7427</v>
      </c>
      <c r="E30" s="8">
        <v>12368</v>
      </c>
      <c r="H30" t="s">
        <v>97</v>
      </c>
      <c r="I30" t="s">
        <v>112</v>
      </c>
      <c r="J30" t="s">
        <v>110</v>
      </c>
    </row>
    <row r="31" spans="1:10" x14ac:dyDescent="0.25">
      <c r="A31" s="4">
        <v>1993</v>
      </c>
      <c r="B31" s="5">
        <v>7530</v>
      </c>
      <c r="C31" s="5"/>
      <c r="D31" s="5">
        <v>7427</v>
      </c>
      <c r="E31" s="8">
        <v>12368</v>
      </c>
      <c r="H31" t="s">
        <v>97</v>
      </c>
      <c r="I31" t="s">
        <v>112</v>
      </c>
      <c r="J3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3"/>
  <sheetViews>
    <sheetView topLeftCell="A13" workbookViewId="0">
      <selection activeCell="B8" sqref="B8"/>
    </sheetView>
  </sheetViews>
  <sheetFormatPr defaultRowHeight="15" x14ac:dyDescent="0.25"/>
  <cols>
    <col min="1" max="1" width="11.85546875" bestFit="1" customWidth="1"/>
    <col min="2" max="2" width="29" style="2" customWidth="1"/>
    <col min="3" max="3" width="11.28515625" customWidth="1"/>
    <col min="4" max="5" width="10.140625" customWidth="1"/>
    <col min="6" max="6" width="12.85546875" bestFit="1" customWidth="1"/>
    <col min="7" max="7" width="43.5703125" customWidth="1"/>
    <col min="8" max="8" width="15.140625" bestFit="1" customWidth="1"/>
  </cols>
  <sheetData>
    <row r="1" spans="1:10" x14ac:dyDescent="0.25">
      <c r="B1" s="19" t="s">
        <v>87</v>
      </c>
      <c r="C1" s="18" t="s">
        <v>88</v>
      </c>
      <c r="D1" s="18" t="s">
        <v>89</v>
      </c>
      <c r="E1" s="18" t="s">
        <v>114</v>
      </c>
      <c r="F1" s="18" t="s">
        <v>91</v>
      </c>
      <c r="G1" s="18" t="s">
        <v>90</v>
      </c>
      <c r="H1" s="18" t="s">
        <v>92</v>
      </c>
      <c r="J1">
        <v>0.218</v>
      </c>
    </row>
    <row r="2" spans="1:10" x14ac:dyDescent="0.25">
      <c r="B2" s="20" t="s">
        <v>63</v>
      </c>
      <c r="C2" s="15">
        <v>1993</v>
      </c>
      <c r="D2" s="15" t="s">
        <v>64</v>
      </c>
      <c r="E2" s="26" t="s">
        <v>161</v>
      </c>
      <c r="G2" s="15" t="s">
        <v>65</v>
      </c>
      <c r="H2">
        <v>7</v>
      </c>
      <c r="J2">
        <f>105-35</f>
        <v>70</v>
      </c>
    </row>
    <row r="3" spans="1:10" x14ac:dyDescent="0.25">
      <c r="B3" s="20" t="s">
        <v>63</v>
      </c>
      <c r="C3" s="15">
        <v>1993</v>
      </c>
      <c r="D3" s="15">
        <v>7529</v>
      </c>
      <c r="E3" s="26" t="s">
        <v>161</v>
      </c>
      <c r="G3" s="15" t="s">
        <v>66</v>
      </c>
      <c r="H3">
        <v>7</v>
      </c>
    </row>
    <row r="4" spans="1:10" x14ac:dyDescent="0.25">
      <c r="B4" s="20" t="s">
        <v>63</v>
      </c>
      <c r="C4" s="15">
        <v>1993</v>
      </c>
      <c r="D4" s="15">
        <v>7530</v>
      </c>
      <c r="E4" s="26" t="s">
        <v>161</v>
      </c>
      <c r="G4" s="15" t="s">
        <v>67</v>
      </c>
      <c r="H4">
        <v>7</v>
      </c>
    </row>
    <row r="5" spans="1:10" x14ac:dyDescent="0.25">
      <c r="B5"/>
      <c r="G5" s="1" t="s">
        <v>163</v>
      </c>
    </row>
    <row r="6" spans="1:10" x14ac:dyDescent="0.25">
      <c r="B6" s="20" t="s">
        <v>68</v>
      </c>
      <c r="C6" s="15">
        <v>2034</v>
      </c>
      <c r="D6" s="15">
        <v>7792</v>
      </c>
      <c r="E6" s="26" t="s">
        <v>161</v>
      </c>
      <c r="G6" s="13" t="s">
        <v>69</v>
      </c>
      <c r="H6">
        <v>40</v>
      </c>
    </row>
    <row r="7" spans="1:10" ht="30" x14ac:dyDescent="0.25">
      <c r="A7" s="20" t="s">
        <v>174</v>
      </c>
      <c r="B7" s="21" t="s">
        <v>170</v>
      </c>
      <c r="C7" s="15">
        <v>1867</v>
      </c>
      <c r="D7" s="15">
        <v>7576</v>
      </c>
      <c r="E7" s="26" t="s">
        <v>161</v>
      </c>
      <c r="G7" s="13" t="s">
        <v>70</v>
      </c>
      <c r="H7" t="s">
        <v>169</v>
      </c>
    </row>
    <row r="8" spans="1:10" ht="30" x14ac:dyDescent="0.25">
      <c r="A8" s="20" t="s">
        <v>174</v>
      </c>
      <c r="B8" s="21" t="s">
        <v>171</v>
      </c>
      <c r="C8" s="15"/>
      <c r="D8" s="15">
        <v>7577</v>
      </c>
      <c r="E8" s="26" t="s">
        <v>161</v>
      </c>
      <c r="G8" s="13" t="s">
        <v>66</v>
      </c>
      <c r="H8" t="s">
        <v>169</v>
      </c>
    </row>
    <row r="9" spans="1:10" x14ac:dyDescent="0.25">
      <c r="A9" s="20"/>
      <c r="B9"/>
      <c r="G9" s="1" t="s">
        <v>158</v>
      </c>
    </row>
    <row r="10" spans="1:10" x14ac:dyDescent="0.25">
      <c r="A10" s="20" t="s">
        <v>174</v>
      </c>
      <c r="B10" s="20" t="s">
        <v>72</v>
      </c>
      <c r="C10" s="15">
        <v>1886</v>
      </c>
      <c r="D10" s="15">
        <v>7566</v>
      </c>
      <c r="E10" s="26" t="s">
        <v>161</v>
      </c>
      <c r="G10" s="15" t="s">
        <v>66</v>
      </c>
      <c r="H10" t="s">
        <v>169</v>
      </c>
    </row>
    <row r="11" spans="1:10" x14ac:dyDescent="0.25">
      <c r="A11" s="20" t="s">
        <v>174</v>
      </c>
      <c r="B11" s="20" t="s">
        <v>72</v>
      </c>
      <c r="C11" s="14">
        <v>1886</v>
      </c>
      <c r="D11" s="15">
        <v>7572</v>
      </c>
      <c r="E11" s="26"/>
      <c r="G11" s="13" t="s">
        <v>69</v>
      </c>
      <c r="H11" t="s">
        <v>169</v>
      </c>
    </row>
    <row r="12" spans="1:10" x14ac:dyDescent="0.25">
      <c r="A12" s="20" t="s">
        <v>174</v>
      </c>
      <c r="B12" s="20" t="s">
        <v>72</v>
      </c>
      <c r="C12" s="14">
        <v>1886</v>
      </c>
      <c r="D12" s="15" t="s">
        <v>57</v>
      </c>
      <c r="E12" s="26"/>
      <c r="G12" s="13" t="s">
        <v>73</v>
      </c>
      <c r="H12" t="s">
        <v>169</v>
      </c>
    </row>
    <row r="13" spans="1:10" x14ac:dyDescent="0.25">
      <c r="A13" s="20" t="s">
        <v>174</v>
      </c>
      <c r="B13" s="20" t="s">
        <v>72</v>
      </c>
      <c r="C13" s="14">
        <v>1886</v>
      </c>
      <c r="D13" s="15">
        <v>7586</v>
      </c>
      <c r="E13" s="26"/>
      <c r="G13" s="13" t="s">
        <v>74</v>
      </c>
      <c r="H13" t="s">
        <v>169</v>
      </c>
    </row>
    <row r="14" spans="1:10" x14ac:dyDescent="0.25">
      <c r="A14" s="20" t="s">
        <v>174</v>
      </c>
      <c r="B14" s="20" t="s">
        <v>72</v>
      </c>
      <c r="C14" s="14">
        <v>1886</v>
      </c>
      <c r="D14" s="15">
        <v>7574</v>
      </c>
      <c r="E14" s="26"/>
      <c r="G14" s="13" t="s">
        <v>69</v>
      </c>
      <c r="H14" t="s">
        <v>169</v>
      </c>
    </row>
    <row r="15" spans="1:10" x14ac:dyDescent="0.25">
      <c r="B15"/>
      <c r="G15" s="1" t="s">
        <v>160</v>
      </c>
    </row>
    <row r="16" spans="1:10" x14ac:dyDescent="0.25">
      <c r="B16" s="20" t="s">
        <v>78</v>
      </c>
      <c r="C16" s="13">
        <v>1796</v>
      </c>
      <c r="D16" s="13">
        <v>7637</v>
      </c>
      <c r="E16" s="26" t="s">
        <v>161</v>
      </c>
      <c r="G16" s="13" t="s">
        <v>79</v>
      </c>
      <c r="H16">
        <v>15</v>
      </c>
    </row>
    <row r="17" spans="2:8" x14ac:dyDescent="0.25">
      <c r="B17" s="20" t="s">
        <v>78</v>
      </c>
      <c r="C17" s="13">
        <v>1796</v>
      </c>
      <c r="D17" s="13">
        <v>7641</v>
      </c>
      <c r="E17" s="27"/>
      <c r="G17" s="13" t="s">
        <v>73</v>
      </c>
      <c r="H17">
        <v>15</v>
      </c>
    </row>
    <row r="18" spans="2:8" x14ac:dyDescent="0.25">
      <c r="B18" s="20" t="s">
        <v>78</v>
      </c>
      <c r="C18" s="13">
        <v>1796</v>
      </c>
      <c r="D18" s="13">
        <v>7642</v>
      </c>
      <c r="E18" s="27"/>
      <c r="G18" s="17" t="s">
        <v>80</v>
      </c>
      <c r="H18">
        <v>15</v>
      </c>
    </row>
    <row r="19" spans="2:8" x14ac:dyDescent="0.25">
      <c r="B19" s="20" t="s">
        <v>78</v>
      </c>
      <c r="C19" s="13">
        <v>1872</v>
      </c>
      <c r="D19" s="13">
        <v>7643</v>
      </c>
      <c r="E19" s="27"/>
      <c r="G19" s="13" t="s">
        <v>74</v>
      </c>
      <c r="H19">
        <v>15</v>
      </c>
    </row>
    <row r="20" spans="2:8" x14ac:dyDescent="0.25">
      <c r="B20" s="20" t="s">
        <v>78</v>
      </c>
      <c r="C20" s="13">
        <v>1872</v>
      </c>
      <c r="D20" s="13">
        <v>7644</v>
      </c>
      <c r="E20" s="27"/>
      <c r="G20" s="13" t="s">
        <v>76</v>
      </c>
      <c r="H20">
        <v>15</v>
      </c>
    </row>
    <row r="21" spans="2:8" x14ac:dyDescent="0.25">
      <c r="B21"/>
      <c r="G21" s="1" t="s">
        <v>165</v>
      </c>
    </row>
    <row r="22" spans="2:8" x14ac:dyDescent="0.25">
      <c r="B22" s="20" t="s">
        <v>81</v>
      </c>
      <c r="C22" s="13">
        <v>1887</v>
      </c>
      <c r="D22" s="13">
        <v>7789</v>
      </c>
      <c r="E22" s="26" t="s">
        <v>161</v>
      </c>
      <c r="G22" s="13" t="s">
        <v>82</v>
      </c>
      <c r="H22" t="s">
        <v>162</v>
      </c>
    </row>
    <row r="23" spans="2:8" x14ac:dyDescent="0.25">
      <c r="B23" s="20" t="s">
        <v>81</v>
      </c>
      <c r="C23" s="13">
        <v>1887</v>
      </c>
      <c r="D23" s="13">
        <v>7790</v>
      </c>
      <c r="E23" s="27"/>
      <c r="G23" s="13" t="s">
        <v>66</v>
      </c>
      <c r="H23" t="s">
        <v>162</v>
      </c>
    </row>
    <row r="24" spans="2:8" x14ac:dyDescent="0.25">
      <c r="B24"/>
      <c r="G24" s="1" t="s">
        <v>166</v>
      </c>
    </row>
    <row r="25" spans="2:8" x14ac:dyDescent="0.25">
      <c r="B25" s="20" t="s">
        <v>83</v>
      </c>
      <c r="C25" s="13">
        <v>2014</v>
      </c>
      <c r="D25" s="13">
        <v>735</v>
      </c>
      <c r="E25" s="26" t="s">
        <v>161</v>
      </c>
      <c r="G25" s="13" t="s">
        <v>84</v>
      </c>
      <c r="H25" t="s">
        <v>168</v>
      </c>
    </row>
    <row r="26" spans="2:8" x14ac:dyDescent="0.25">
      <c r="B26" s="20" t="s">
        <v>83</v>
      </c>
      <c r="C26" s="13">
        <v>2014</v>
      </c>
      <c r="D26" s="13">
        <v>7445</v>
      </c>
      <c r="E26" s="27"/>
      <c r="G26" s="13" t="s">
        <v>85</v>
      </c>
      <c r="H26" t="s">
        <v>168</v>
      </c>
    </row>
    <row r="27" spans="2:8" x14ac:dyDescent="0.25">
      <c r="B27"/>
      <c r="G27" s="1" t="s">
        <v>167</v>
      </c>
    </row>
    <row r="28" spans="2:8" x14ac:dyDescent="0.25">
      <c r="B28" s="21" t="s">
        <v>172</v>
      </c>
      <c r="C28" s="15">
        <v>1777</v>
      </c>
      <c r="D28" s="15">
        <v>7546</v>
      </c>
      <c r="E28" s="26" t="s">
        <v>161</v>
      </c>
      <c r="G28" s="13" t="s">
        <v>71</v>
      </c>
      <c r="H28" t="s">
        <v>169</v>
      </c>
    </row>
    <row r="29" spans="2:8" x14ac:dyDescent="0.25">
      <c r="B29" s="21" t="s">
        <v>173</v>
      </c>
      <c r="C29" s="15">
        <v>1839</v>
      </c>
      <c r="D29" s="15">
        <v>7545</v>
      </c>
      <c r="E29" s="26"/>
      <c r="G29" s="13" t="s">
        <v>65</v>
      </c>
      <c r="H29" t="s">
        <v>169</v>
      </c>
    </row>
    <row r="30" spans="2:8" x14ac:dyDescent="0.25">
      <c r="B30"/>
      <c r="G30" s="1" t="s">
        <v>159</v>
      </c>
    </row>
    <row r="31" spans="2:8" x14ac:dyDescent="0.25">
      <c r="B31" s="20" t="s">
        <v>75</v>
      </c>
      <c r="C31" s="13">
        <v>1773</v>
      </c>
      <c r="D31" s="13">
        <v>7794</v>
      </c>
      <c r="E31" s="26" t="s">
        <v>161</v>
      </c>
      <c r="G31" s="13" t="s">
        <v>76</v>
      </c>
    </row>
    <row r="32" spans="2:8" x14ac:dyDescent="0.25">
      <c r="B32" s="20" t="s">
        <v>75</v>
      </c>
      <c r="C32" s="13">
        <v>1773</v>
      </c>
      <c r="D32" s="13">
        <v>7796</v>
      </c>
      <c r="E32" s="27"/>
      <c r="G32" s="13" t="s">
        <v>77</v>
      </c>
    </row>
    <row r="33" spans="2:7" x14ac:dyDescent="0.25">
      <c r="B33"/>
      <c r="G33" s="1" t="s">
        <v>164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7" workbookViewId="0">
      <selection activeCell="A28" sqref="A28"/>
    </sheetView>
  </sheetViews>
  <sheetFormatPr defaultRowHeight="15" x14ac:dyDescent="0.25"/>
  <cols>
    <col min="1" max="1" width="18.42578125" bestFit="1" customWidth="1"/>
    <col min="2" max="2" width="17.7109375" bestFit="1" customWidth="1"/>
    <col min="3" max="3" width="26.140625" bestFit="1" customWidth="1"/>
    <col min="4" max="4" width="13.7109375" customWidth="1"/>
    <col min="6" max="6" width="10.42578125" bestFit="1" customWidth="1"/>
    <col min="7" max="7" width="15.140625" bestFit="1" customWidth="1"/>
  </cols>
  <sheetData>
    <row r="1" spans="1:7" x14ac:dyDescent="0.25">
      <c r="A1" s="1" t="s">
        <v>93</v>
      </c>
      <c r="B1" s="1" t="s">
        <v>115</v>
      </c>
      <c r="C1" s="1" t="s">
        <v>90</v>
      </c>
      <c r="D1" s="1" t="s">
        <v>117</v>
      </c>
      <c r="E1" s="1" t="s">
        <v>114</v>
      </c>
      <c r="F1" s="1" t="s">
        <v>121</v>
      </c>
    </row>
    <row r="2" spans="1:7" x14ac:dyDescent="0.25">
      <c r="A2">
        <v>82</v>
      </c>
      <c r="B2" t="s">
        <v>17</v>
      </c>
      <c r="C2" t="s">
        <v>116</v>
      </c>
      <c r="D2" s="23" t="s">
        <v>118</v>
      </c>
      <c r="E2">
        <v>11302</v>
      </c>
      <c r="F2" s="24">
        <v>35226</v>
      </c>
    </row>
    <row r="3" spans="1:7" x14ac:dyDescent="0.25">
      <c r="A3">
        <v>103</v>
      </c>
      <c r="B3" t="s">
        <v>17</v>
      </c>
      <c r="C3" t="s">
        <v>119</v>
      </c>
      <c r="D3" s="23" t="s">
        <v>120</v>
      </c>
      <c r="E3">
        <v>11302</v>
      </c>
      <c r="F3" s="24">
        <v>33184</v>
      </c>
    </row>
    <row r="4" spans="1:7" x14ac:dyDescent="0.25">
      <c r="A4">
        <v>103</v>
      </c>
      <c r="B4" t="s">
        <v>17</v>
      </c>
      <c r="C4" t="s">
        <v>119</v>
      </c>
      <c r="D4" s="23" t="s">
        <v>122</v>
      </c>
      <c r="E4">
        <v>11302</v>
      </c>
      <c r="F4" s="24">
        <v>27600</v>
      </c>
    </row>
    <row r="5" spans="1:7" x14ac:dyDescent="0.25">
      <c r="A5">
        <v>81</v>
      </c>
      <c r="B5" t="s">
        <v>17</v>
      </c>
      <c r="C5" t="s">
        <v>119</v>
      </c>
      <c r="D5" s="23" t="s">
        <v>123</v>
      </c>
      <c r="E5">
        <v>11302</v>
      </c>
      <c r="F5" s="24">
        <v>27600</v>
      </c>
    </row>
    <row r="6" spans="1:7" x14ac:dyDescent="0.25">
      <c r="A6">
        <v>82</v>
      </c>
      <c r="B6" t="s">
        <v>17</v>
      </c>
      <c r="C6" t="s">
        <v>116</v>
      </c>
      <c r="D6" s="23" t="s">
        <v>124</v>
      </c>
      <c r="E6">
        <v>11302</v>
      </c>
      <c r="F6" s="24">
        <v>42214</v>
      </c>
    </row>
    <row r="7" spans="1:7" x14ac:dyDescent="0.25">
      <c r="A7">
        <v>171</v>
      </c>
      <c r="B7" t="s">
        <v>17</v>
      </c>
      <c r="C7" t="s">
        <v>125</v>
      </c>
      <c r="D7" s="23" t="s">
        <v>126</v>
      </c>
      <c r="E7">
        <v>11299</v>
      </c>
      <c r="F7" s="24">
        <v>42214</v>
      </c>
    </row>
    <row r="8" spans="1:7" x14ac:dyDescent="0.25">
      <c r="A8" s="28">
        <v>35</v>
      </c>
      <c r="B8" s="28" t="s">
        <v>97</v>
      </c>
      <c r="C8" s="28" t="s">
        <v>127</v>
      </c>
      <c r="D8" s="29" t="s">
        <v>129</v>
      </c>
      <c r="E8" s="28">
        <v>11302</v>
      </c>
      <c r="F8" s="30">
        <v>35721</v>
      </c>
    </row>
    <row r="9" spans="1:7" x14ac:dyDescent="0.25">
      <c r="A9">
        <v>26</v>
      </c>
      <c r="B9" t="s">
        <v>97</v>
      </c>
      <c r="C9" t="s">
        <v>128</v>
      </c>
      <c r="D9" s="23" t="s">
        <v>130</v>
      </c>
      <c r="E9">
        <v>11302</v>
      </c>
      <c r="F9" s="24">
        <v>35721</v>
      </c>
    </row>
    <row r="10" spans="1:7" x14ac:dyDescent="0.25">
      <c r="A10">
        <v>14</v>
      </c>
      <c r="B10" t="s">
        <v>17</v>
      </c>
      <c r="C10" t="s">
        <v>131</v>
      </c>
      <c r="D10" s="23" t="s">
        <v>132</v>
      </c>
      <c r="E10">
        <v>11299</v>
      </c>
      <c r="F10" s="24">
        <v>35710</v>
      </c>
    </row>
    <row r="11" spans="1:7" x14ac:dyDescent="0.25">
      <c r="A11" s="28">
        <v>35</v>
      </c>
      <c r="B11" s="28" t="s">
        <v>97</v>
      </c>
      <c r="C11" s="28" t="s">
        <v>127</v>
      </c>
      <c r="D11" s="29" t="s">
        <v>133</v>
      </c>
      <c r="E11" s="28">
        <v>11302</v>
      </c>
      <c r="F11" s="30">
        <v>33328</v>
      </c>
    </row>
    <row r="12" spans="1:7" x14ac:dyDescent="0.25">
      <c r="A12">
        <v>26</v>
      </c>
      <c r="B12" t="s">
        <v>97</v>
      </c>
      <c r="C12" s="24" t="s">
        <v>128</v>
      </c>
      <c r="D12" s="23" t="s">
        <v>134</v>
      </c>
      <c r="E12">
        <v>11302</v>
      </c>
      <c r="F12" s="24">
        <v>33328</v>
      </c>
    </row>
    <row r="13" spans="1:7" x14ac:dyDescent="0.25">
      <c r="A13">
        <v>14</v>
      </c>
      <c r="B13" t="s">
        <v>17</v>
      </c>
      <c r="C13" t="s">
        <v>131</v>
      </c>
      <c r="D13" s="23" t="s">
        <v>135</v>
      </c>
      <c r="E13">
        <v>11299</v>
      </c>
      <c r="F13" s="24">
        <v>33184</v>
      </c>
    </row>
    <row r="14" spans="1:7" x14ac:dyDescent="0.25">
      <c r="A14">
        <v>15</v>
      </c>
      <c r="B14" t="s">
        <v>17</v>
      </c>
      <c r="C14" t="s">
        <v>136</v>
      </c>
      <c r="D14" s="23" t="s">
        <v>137</v>
      </c>
      <c r="E14">
        <v>11299</v>
      </c>
      <c r="G14" t="s">
        <v>141</v>
      </c>
    </row>
    <row r="15" spans="1:7" x14ac:dyDescent="0.25">
      <c r="A15">
        <v>7</v>
      </c>
      <c r="B15" t="s">
        <v>17</v>
      </c>
      <c r="C15" t="s">
        <v>138</v>
      </c>
      <c r="D15" t="s">
        <v>139</v>
      </c>
      <c r="F15" s="24">
        <v>12085</v>
      </c>
    </row>
    <row r="16" spans="1:7" x14ac:dyDescent="0.25">
      <c r="A16">
        <v>7</v>
      </c>
      <c r="B16" t="s">
        <v>17</v>
      </c>
      <c r="C16" t="s">
        <v>138</v>
      </c>
      <c r="D16" s="23" t="s">
        <v>140</v>
      </c>
      <c r="F16" s="24">
        <v>14335</v>
      </c>
    </row>
    <row r="17" spans="1:6" x14ac:dyDescent="0.25">
      <c r="A17" s="28">
        <v>27</v>
      </c>
      <c r="B17" s="28" t="s">
        <v>97</v>
      </c>
      <c r="C17" s="28" t="s">
        <v>127</v>
      </c>
      <c r="D17" s="29" t="s">
        <v>142</v>
      </c>
      <c r="E17" s="28">
        <v>11302</v>
      </c>
      <c r="F17" s="30">
        <v>28837</v>
      </c>
    </row>
    <row r="18" spans="1:6" x14ac:dyDescent="0.25">
      <c r="A18">
        <v>37</v>
      </c>
      <c r="B18" t="s">
        <v>143</v>
      </c>
      <c r="C18" t="s">
        <v>144</v>
      </c>
      <c r="D18" s="23" t="s">
        <v>145</v>
      </c>
      <c r="E18">
        <v>11302</v>
      </c>
      <c r="F18" s="24">
        <v>27599</v>
      </c>
    </row>
    <row r="19" spans="1:6" x14ac:dyDescent="0.25">
      <c r="A19">
        <v>37</v>
      </c>
      <c r="B19" t="s">
        <v>143</v>
      </c>
      <c r="C19" t="s">
        <v>144</v>
      </c>
      <c r="D19" s="23" t="s">
        <v>146</v>
      </c>
      <c r="E19">
        <v>11302</v>
      </c>
      <c r="F19" s="24">
        <v>27599</v>
      </c>
    </row>
    <row r="20" spans="1:6" x14ac:dyDescent="0.25">
      <c r="A20">
        <v>38</v>
      </c>
      <c r="B20" t="s">
        <v>143</v>
      </c>
      <c r="C20" t="s">
        <v>144</v>
      </c>
      <c r="D20" s="23" t="s">
        <v>147</v>
      </c>
      <c r="E20">
        <v>11302</v>
      </c>
      <c r="F20" s="24">
        <v>27599</v>
      </c>
    </row>
    <row r="21" spans="1:6" x14ac:dyDescent="0.25">
      <c r="A21">
        <v>41</v>
      </c>
      <c r="B21" t="s">
        <v>143</v>
      </c>
      <c r="C21" t="s">
        <v>144</v>
      </c>
      <c r="D21" s="23" t="s">
        <v>148</v>
      </c>
      <c r="E21">
        <v>11302</v>
      </c>
      <c r="F21" s="24">
        <v>27599</v>
      </c>
    </row>
    <row r="22" spans="1:6" x14ac:dyDescent="0.25">
      <c r="A22">
        <v>40</v>
      </c>
      <c r="B22" t="s">
        <v>143</v>
      </c>
      <c r="C22" t="s">
        <v>149</v>
      </c>
      <c r="D22" s="23" t="s">
        <v>150</v>
      </c>
      <c r="E22">
        <v>11302</v>
      </c>
      <c r="F22" s="24">
        <v>27599</v>
      </c>
    </row>
    <row r="23" spans="1:6" x14ac:dyDescent="0.25">
      <c r="A23">
        <v>24</v>
      </c>
      <c r="B23" t="s">
        <v>97</v>
      </c>
      <c r="C23" t="s">
        <v>127</v>
      </c>
      <c r="D23" s="23" t="s">
        <v>151</v>
      </c>
      <c r="E23">
        <v>11302</v>
      </c>
      <c r="F23" s="24">
        <v>27599</v>
      </c>
    </row>
    <row r="24" spans="1:6" x14ac:dyDescent="0.25">
      <c r="A24">
        <v>24</v>
      </c>
      <c r="B24" t="s">
        <v>97</v>
      </c>
      <c r="C24" t="s">
        <v>127</v>
      </c>
      <c r="D24" s="23" t="s">
        <v>152</v>
      </c>
      <c r="E24">
        <v>11302</v>
      </c>
      <c r="F24" s="24">
        <v>27599</v>
      </c>
    </row>
    <row r="25" spans="1:6" x14ac:dyDescent="0.25">
      <c r="A25" s="28">
        <v>27</v>
      </c>
      <c r="B25" s="28" t="s">
        <v>97</v>
      </c>
      <c r="C25" s="28" t="s">
        <v>128</v>
      </c>
      <c r="D25" s="29" t="s">
        <v>233</v>
      </c>
      <c r="E25" s="28">
        <v>11302</v>
      </c>
      <c r="F25" s="30">
        <v>33328</v>
      </c>
    </row>
    <row r="26" spans="1:6" x14ac:dyDescent="0.25">
      <c r="A26" s="28">
        <v>27</v>
      </c>
      <c r="B26" s="28" t="s">
        <v>97</v>
      </c>
      <c r="C26" s="28" t="s">
        <v>128</v>
      </c>
      <c r="D26" s="29" t="s">
        <v>130</v>
      </c>
      <c r="E26" s="28">
        <v>11302</v>
      </c>
      <c r="F26" s="30">
        <v>36086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13" sqref="F13"/>
    </sheetView>
  </sheetViews>
  <sheetFormatPr defaultRowHeight="15" x14ac:dyDescent="0.25"/>
  <cols>
    <col min="1" max="1" width="30" style="2" customWidth="1"/>
    <col min="3" max="3" width="10.42578125" bestFit="1" customWidth="1"/>
    <col min="5" max="5" width="14.28515625" bestFit="1" customWidth="1"/>
  </cols>
  <sheetData>
    <row r="1" spans="1:6" x14ac:dyDescent="0.25">
      <c r="A1" s="25" t="s">
        <v>59</v>
      </c>
      <c r="B1" s="9" t="s">
        <v>60</v>
      </c>
      <c r="C1" s="9" t="s">
        <v>121</v>
      </c>
      <c r="E1" s="1" t="s">
        <v>61</v>
      </c>
      <c r="F1">
        <f>SUM(B2:B100)</f>
        <v>11501</v>
      </c>
    </row>
    <row r="2" spans="1:6" x14ac:dyDescent="0.25">
      <c r="A2" s="2" t="s">
        <v>155</v>
      </c>
      <c r="B2">
        <v>500</v>
      </c>
      <c r="C2" s="24">
        <v>45789</v>
      </c>
    </row>
    <row r="3" spans="1:6" x14ac:dyDescent="0.25">
      <c r="A3" s="2" t="s">
        <v>154</v>
      </c>
      <c r="B3">
        <v>2001</v>
      </c>
      <c r="C3" s="24">
        <v>45792</v>
      </c>
    </row>
    <row r="4" spans="1:6" x14ac:dyDescent="0.25">
      <c r="A4" s="2" t="s">
        <v>153</v>
      </c>
      <c r="B4">
        <v>2000</v>
      </c>
      <c r="C4" s="24">
        <v>45793</v>
      </c>
    </row>
    <row r="5" spans="1:6" ht="30" x14ac:dyDescent="0.25">
      <c r="A5" s="2" t="s">
        <v>156</v>
      </c>
      <c r="B5">
        <v>1500</v>
      </c>
      <c r="C5" s="24">
        <v>45792</v>
      </c>
    </row>
    <row r="6" spans="1:6" ht="30" x14ac:dyDescent="0.25">
      <c r="A6" s="2" t="s">
        <v>157</v>
      </c>
      <c r="B6">
        <v>2000</v>
      </c>
      <c r="C6" s="24">
        <v>45793</v>
      </c>
    </row>
    <row r="7" spans="1:6" x14ac:dyDescent="0.25">
      <c r="A7" s="2" t="s">
        <v>337</v>
      </c>
      <c r="B7">
        <v>3500</v>
      </c>
      <c r="C7" s="24">
        <v>45900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2"/>
  <sheetViews>
    <sheetView workbookViewId="0">
      <pane ySplit="1" topLeftCell="A12" activePane="bottomLeft" state="frozen"/>
      <selection pane="bottomLeft" activeCell="G30" sqref="G30"/>
    </sheetView>
  </sheetViews>
  <sheetFormatPr defaultRowHeight="15" x14ac:dyDescent="0.25"/>
  <cols>
    <col min="2" max="2" width="35.42578125" bestFit="1" customWidth="1"/>
    <col min="4" max="4" width="13.7109375" customWidth="1"/>
    <col min="5" max="5" width="11.85546875" bestFit="1" customWidth="1"/>
    <col min="6" max="6" width="31.7109375" bestFit="1" customWidth="1"/>
    <col min="8" max="10" width="9.140625" style="110"/>
    <col min="11" max="11" width="32.7109375" customWidth="1"/>
  </cols>
  <sheetData>
    <row r="1" spans="1:11" x14ac:dyDescent="0.25">
      <c r="A1" s="60" t="s">
        <v>240</v>
      </c>
      <c r="B1" s="60" t="s">
        <v>18</v>
      </c>
      <c r="C1" s="60" t="s">
        <v>4</v>
      </c>
      <c r="D1" s="60" t="s">
        <v>250</v>
      </c>
      <c r="E1" s="60" t="s">
        <v>16</v>
      </c>
      <c r="F1" s="51" t="s">
        <v>7</v>
      </c>
      <c r="G1" s="60" t="s">
        <v>319</v>
      </c>
      <c r="H1" s="76" t="s">
        <v>320</v>
      </c>
      <c r="I1" s="76" t="s">
        <v>321</v>
      </c>
      <c r="J1" s="76" t="s">
        <v>315</v>
      </c>
      <c r="K1" s="60" t="s">
        <v>353</v>
      </c>
    </row>
    <row r="2" spans="1:11" x14ac:dyDescent="0.25">
      <c r="A2" s="47" t="s">
        <v>161</v>
      </c>
      <c r="B2" s="48" t="s">
        <v>63</v>
      </c>
      <c r="C2" s="52">
        <v>1993</v>
      </c>
      <c r="D2" s="54" t="s">
        <v>64</v>
      </c>
      <c r="E2" s="54" t="s">
        <v>272</v>
      </c>
      <c r="F2" s="26" t="s">
        <v>65</v>
      </c>
      <c r="H2" s="110">
        <v>2</v>
      </c>
      <c r="I2" s="110">
        <v>15</v>
      </c>
      <c r="J2" s="110">
        <f>ROUNDUP((H2*20+I2)*0.218,1)</f>
        <v>12</v>
      </c>
    </row>
    <row r="3" spans="1:11" x14ac:dyDescent="0.25">
      <c r="A3" s="47" t="s">
        <v>161</v>
      </c>
      <c r="B3" s="48" t="s">
        <v>63</v>
      </c>
      <c r="C3" s="53"/>
      <c r="D3" s="52">
        <v>7529</v>
      </c>
      <c r="E3" s="52" t="s">
        <v>272</v>
      </c>
      <c r="F3" s="26" t="s">
        <v>66</v>
      </c>
      <c r="I3" s="110">
        <v>18</v>
      </c>
      <c r="J3" s="110">
        <f t="shared" ref="J3:J50" si="0">ROUNDUP((H3*20+I3)*0.218,1)</f>
        <v>4</v>
      </c>
    </row>
    <row r="4" spans="1:11" x14ac:dyDescent="0.25">
      <c r="A4" s="47" t="s">
        <v>161</v>
      </c>
      <c r="B4" s="48" t="s">
        <v>63</v>
      </c>
      <c r="C4" s="53"/>
      <c r="D4" s="52">
        <v>7530</v>
      </c>
      <c r="E4" s="52" t="s">
        <v>272</v>
      </c>
      <c r="F4" s="26" t="s">
        <v>67</v>
      </c>
      <c r="H4" s="110">
        <v>1</v>
      </c>
      <c r="I4" s="110">
        <v>12</v>
      </c>
      <c r="J4" s="110">
        <f t="shared" si="0"/>
        <v>7</v>
      </c>
    </row>
    <row r="5" spans="1:11" ht="30" x14ac:dyDescent="0.25">
      <c r="A5" s="47"/>
      <c r="B5" s="48"/>
      <c r="C5" s="53"/>
      <c r="D5" s="53"/>
      <c r="E5" s="53"/>
      <c r="F5" s="49" t="s">
        <v>241</v>
      </c>
      <c r="J5" s="110">
        <f t="shared" si="0"/>
        <v>0</v>
      </c>
    </row>
    <row r="6" spans="1:11" x14ac:dyDescent="0.25">
      <c r="A6" s="47" t="s">
        <v>161</v>
      </c>
      <c r="B6" s="48" t="s">
        <v>68</v>
      </c>
      <c r="C6" s="52">
        <v>2034</v>
      </c>
      <c r="D6" s="52">
        <v>7792</v>
      </c>
      <c r="E6" s="52" t="s">
        <v>271</v>
      </c>
      <c r="F6" s="27" t="s">
        <v>69</v>
      </c>
      <c r="H6" s="110">
        <v>1</v>
      </c>
      <c r="I6" s="110">
        <v>3</v>
      </c>
      <c r="J6" s="110">
        <f t="shared" si="0"/>
        <v>5.0999999999999996</v>
      </c>
    </row>
    <row r="7" spans="1:11" x14ac:dyDescent="0.25">
      <c r="A7" s="47" t="s">
        <v>161</v>
      </c>
      <c r="B7" s="48" t="s">
        <v>242</v>
      </c>
      <c r="C7" s="52">
        <v>1867</v>
      </c>
      <c r="D7" s="52">
        <v>7576</v>
      </c>
      <c r="E7" s="52" t="s">
        <v>275</v>
      </c>
      <c r="F7" s="27" t="s">
        <v>70</v>
      </c>
      <c r="H7" s="110">
        <v>1</v>
      </c>
      <c r="I7" s="110">
        <v>7</v>
      </c>
      <c r="J7" s="110">
        <f t="shared" si="0"/>
        <v>5.8999999999999995</v>
      </c>
    </row>
    <row r="8" spans="1:11" x14ac:dyDescent="0.25">
      <c r="A8" s="47" t="s">
        <v>161</v>
      </c>
      <c r="B8" s="48" t="s">
        <v>242</v>
      </c>
      <c r="C8" s="52">
        <v>1867</v>
      </c>
      <c r="D8" s="52">
        <v>7577</v>
      </c>
      <c r="E8" s="52" t="s">
        <v>275</v>
      </c>
      <c r="F8" s="27" t="s">
        <v>66</v>
      </c>
      <c r="I8" s="110">
        <v>18</v>
      </c>
      <c r="J8" s="110">
        <f t="shared" si="0"/>
        <v>4</v>
      </c>
    </row>
    <row r="9" spans="1:11" ht="30" x14ac:dyDescent="0.25">
      <c r="A9" s="47"/>
      <c r="B9" s="48" t="s">
        <v>242</v>
      </c>
      <c r="C9" s="52"/>
      <c r="D9" s="52"/>
      <c r="E9" s="52"/>
      <c r="F9" s="49" t="s">
        <v>243</v>
      </c>
      <c r="J9" s="110">
        <f t="shared" si="0"/>
        <v>0</v>
      </c>
    </row>
    <row r="10" spans="1:11" x14ac:dyDescent="0.25">
      <c r="A10" s="47" t="s">
        <v>161</v>
      </c>
      <c r="B10" s="48" t="s">
        <v>19</v>
      </c>
      <c r="C10" s="52">
        <v>1777</v>
      </c>
      <c r="D10" s="52">
        <v>7546</v>
      </c>
      <c r="E10" s="52" t="s">
        <v>273</v>
      </c>
      <c r="F10" s="27" t="s">
        <v>71</v>
      </c>
      <c r="H10" s="110">
        <v>3</v>
      </c>
      <c r="I10" s="110">
        <v>4</v>
      </c>
      <c r="J10" s="110">
        <f t="shared" si="0"/>
        <v>14</v>
      </c>
    </row>
    <row r="11" spans="1:11" x14ac:dyDescent="0.25">
      <c r="A11" s="47" t="s">
        <v>161</v>
      </c>
      <c r="B11" s="48" t="s">
        <v>19</v>
      </c>
      <c r="C11" s="52">
        <v>1839</v>
      </c>
      <c r="D11" s="52">
        <v>7545</v>
      </c>
      <c r="E11" s="52" t="s">
        <v>274</v>
      </c>
      <c r="F11" s="27" t="s">
        <v>65</v>
      </c>
      <c r="H11" s="110">
        <v>2</v>
      </c>
      <c r="I11" s="110">
        <v>15</v>
      </c>
      <c r="J11" s="110">
        <f t="shared" si="0"/>
        <v>12</v>
      </c>
    </row>
    <row r="12" spans="1:11" ht="30" x14ac:dyDescent="0.25">
      <c r="A12" s="47"/>
      <c r="B12" s="48"/>
      <c r="C12" s="53"/>
      <c r="D12" s="53"/>
      <c r="E12" s="53"/>
      <c r="F12" s="49" t="s">
        <v>244</v>
      </c>
      <c r="J12" s="110">
        <f t="shared" si="0"/>
        <v>0</v>
      </c>
    </row>
    <row r="13" spans="1:11" x14ac:dyDescent="0.25">
      <c r="A13" s="47" t="s">
        <v>161</v>
      </c>
      <c r="B13" s="48" t="s">
        <v>251</v>
      </c>
      <c r="C13" s="52">
        <v>1886</v>
      </c>
      <c r="D13" s="52">
        <v>7566</v>
      </c>
      <c r="E13" s="52" t="s">
        <v>276</v>
      </c>
      <c r="F13" s="26" t="s">
        <v>66</v>
      </c>
      <c r="I13" s="110">
        <v>18</v>
      </c>
      <c r="J13" s="110">
        <f t="shared" si="0"/>
        <v>4</v>
      </c>
    </row>
    <row r="14" spans="1:11" x14ac:dyDescent="0.25">
      <c r="A14" s="47" t="s">
        <v>161</v>
      </c>
      <c r="B14" s="48" t="s">
        <v>251</v>
      </c>
      <c r="C14" s="52">
        <v>1886</v>
      </c>
      <c r="D14" s="52">
        <v>7572</v>
      </c>
      <c r="E14" s="52" t="s">
        <v>276</v>
      </c>
      <c r="F14" s="27" t="s">
        <v>69</v>
      </c>
      <c r="H14" s="110">
        <v>1</v>
      </c>
      <c r="I14" s="110">
        <v>3</v>
      </c>
      <c r="J14" s="110">
        <f t="shared" si="0"/>
        <v>5.0999999999999996</v>
      </c>
    </row>
    <row r="15" spans="1:11" x14ac:dyDescent="0.25">
      <c r="A15" s="47" t="s">
        <v>161</v>
      </c>
      <c r="B15" s="48" t="s">
        <v>251</v>
      </c>
      <c r="C15" s="52">
        <v>1886</v>
      </c>
      <c r="D15" s="52" t="s">
        <v>57</v>
      </c>
      <c r="E15" s="52" t="s">
        <v>276</v>
      </c>
      <c r="F15" s="27" t="s">
        <v>73</v>
      </c>
      <c r="I15" s="110">
        <v>9</v>
      </c>
      <c r="J15" s="110">
        <f t="shared" si="0"/>
        <v>2</v>
      </c>
    </row>
    <row r="16" spans="1:11" x14ac:dyDescent="0.25">
      <c r="A16" s="47" t="s">
        <v>161</v>
      </c>
      <c r="B16" s="48" t="s">
        <v>251</v>
      </c>
      <c r="C16" s="52">
        <v>1886</v>
      </c>
      <c r="D16" s="52">
        <v>7586</v>
      </c>
      <c r="E16" s="52" t="s">
        <v>276</v>
      </c>
      <c r="F16" s="27" t="s">
        <v>74</v>
      </c>
      <c r="I16" s="110">
        <v>5</v>
      </c>
      <c r="J16" s="110">
        <f t="shared" si="0"/>
        <v>1.1000000000000001</v>
      </c>
    </row>
    <row r="17" spans="1:10" x14ac:dyDescent="0.25">
      <c r="A17" s="47" t="s">
        <v>161</v>
      </c>
      <c r="B17" s="48" t="s">
        <v>251</v>
      </c>
      <c r="C17" s="52">
        <v>1886</v>
      </c>
      <c r="D17" s="52">
        <v>7574</v>
      </c>
      <c r="E17" s="52" t="s">
        <v>276</v>
      </c>
      <c r="F17" s="27" t="s">
        <v>69</v>
      </c>
      <c r="H17" s="110">
        <v>1</v>
      </c>
      <c r="I17" s="110">
        <v>3</v>
      </c>
      <c r="J17" s="110">
        <f t="shared" si="0"/>
        <v>5.0999999999999996</v>
      </c>
    </row>
    <row r="18" spans="1:10" ht="30" x14ac:dyDescent="0.25">
      <c r="A18" s="47"/>
      <c r="B18" s="48"/>
      <c r="C18" s="53"/>
      <c r="D18" s="53"/>
      <c r="E18" s="53"/>
      <c r="F18" s="49" t="s">
        <v>245</v>
      </c>
      <c r="J18" s="110">
        <f t="shared" si="0"/>
        <v>0</v>
      </c>
    </row>
    <row r="19" spans="1:10" x14ac:dyDescent="0.25">
      <c r="A19" s="47" t="s">
        <v>161</v>
      </c>
      <c r="B19" s="48" t="s">
        <v>252</v>
      </c>
      <c r="C19" s="53">
        <v>1773</v>
      </c>
      <c r="D19" s="53">
        <v>7795</v>
      </c>
      <c r="E19" s="53">
        <v>82</v>
      </c>
      <c r="F19" s="27" t="s">
        <v>76</v>
      </c>
      <c r="I19" s="110">
        <v>14</v>
      </c>
      <c r="J19" s="110">
        <f t="shared" si="0"/>
        <v>3.1</v>
      </c>
    </row>
    <row r="20" spans="1:10" x14ac:dyDescent="0.25">
      <c r="A20" s="47" t="s">
        <v>161</v>
      </c>
      <c r="B20" s="48" t="s">
        <v>252</v>
      </c>
      <c r="C20" s="53">
        <v>1773</v>
      </c>
      <c r="D20" s="53">
        <v>7796</v>
      </c>
      <c r="E20" s="53">
        <v>82</v>
      </c>
      <c r="F20" s="27" t="s">
        <v>77</v>
      </c>
      <c r="H20" s="117">
        <v>1</v>
      </c>
      <c r="I20" s="117">
        <v>12</v>
      </c>
      <c r="J20" s="110">
        <f t="shared" si="0"/>
        <v>7</v>
      </c>
    </row>
    <row r="21" spans="1:10" x14ac:dyDescent="0.25">
      <c r="A21" s="47"/>
      <c r="B21" s="48" t="s">
        <v>252</v>
      </c>
      <c r="C21" s="53"/>
      <c r="D21" s="53"/>
      <c r="E21" s="53"/>
      <c r="F21" s="50" t="s">
        <v>246</v>
      </c>
      <c r="J21" s="110">
        <f t="shared" si="0"/>
        <v>0</v>
      </c>
    </row>
    <row r="22" spans="1:10" x14ac:dyDescent="0.25">
      <c r="A22" s="47" t="s">
        <v>161</v>
      </c>
      <c r="B22" s="48" t="s">
        <v>27</v>
      </c>
      <c r="C22" s="53">
        <v>1892</v>
      </c>
      <c r="D22" s="53">
        <v>1007</v>
      </c>
      <c r="E22" s="53"/>
      <c r="F22" s="50" t="s">
        <v>247</v>
      </c>
      <c r="J22" s="110">
        <f t="shared" si="0"/>
        <v>0</v>
      </c>
    </row>
    <row r="23" spans="1:10" x14ac:dyDescent="0.25">
      <c r="A23" s="47" t="s">
        <v>161</v>
      </c>
      <c r="B23" s="48" t="s">
        <v>78</v>
      </c>
      <c r="C23" s="53">
        <v>1796</v>
      </c>
      <c r="D23" s="111">
        <v>7637</v>
      </c>
      <c r="E23" s="53">
        <v>15</v>
      </c>
      <c r="F23" s="27" t="s">
        <v>79</v>
      </c>
      <c r="H23" s="117">
        <v>4</v>
      </c>
      <c r="I23" s="117">
        <v>16</v>
      </c>
      <c r="J23" s="110">
        <f t="shared" si="0"/>
        <v>21</v>
      </c>
    </row>
    <row r="24" spans="1:10" x14ac:dyDescent="0.25">
      <c r="A24" s="47" t="s">
        <v>161</v>
      </c>
      <c r="B24" s="48" t="s">
        <v>78</v>
      </c>
      <c r="C24" s="53">
        <v>1796</v>
      </c>
      <c r="D24" s="111">
        <v>7641</v>
      </c>
      <c r="E24" s="53">
        <v>15</v>
      </c>
      <c r="F24" s="27" t="s">
        <v>73</v>
      </c>
      <c r="I24" s="110">
        <v>9</v>
      </c>
      <c r="J24" s="110">
        <f t="shared" si="0"/>
        <v>2</v>
      </c>
    </row>
    <row r="25" spans="1:10" x14ac:dyDescent="0.25">
      <c r="A25" s="47" t="s">
        <v>161</v>
      </c>
      <c r="B25" s="48" t="s">
        <v>78</v>
      </c>
      <c r="C25" s="53">
        <v>1796</v>
      </c>
      <c r="D25" s="111">
        <v>7642</v>
      </c>
      <c r="E25" s="53">
        <v>15</v>
      </c>
      <c r="F25" s="27" t="s">
        <v>80</v>
      </c>
      <c r="H25" s="117">
        <v>3</v>
      </c>
      <c r="J25" s="110">
        <f t="shared" si="0"/>
        <v>13.1</v>
      </c>
    </row>
    <row r="26" spans="1:10" x14ac:dyDescent="0.25">
      <c r="A26" s="47" t="s">
        <v>161</v>
      </c>
      <c r="B26" s="48" t="s">
        <v>78</v>
      </c>
      <c r="C26" s="53">
        <v>1872</v>
      </c>
      <c r="D26" s="53">
        <v>7643</v>
      </c>
      <c r="E26" s="53">
        <v>171</v>
      </c>
      <c r="F26" s="27" t="s">
        <v>74</v>
      </c>
      <c r="I26" s="110">
        <v>5</v>
      </c>
      <c r="J26" s="110">
        <f t="shared" si="0"/>
        <v>1.1000000000000001</v>
      </c>
    </row>
    <row r="27" spans="1:10" x14ac:dyDescent="0.25">
      <c r="A27" s="47" t="s">
        <v>161</v>
      </c>
      <c r="B27" s="48" t="s">
        <v>78</v>
      </c>
      <c r="C27" s="53">
        <v>1872</v>
      </c>
      <c r="D27" s="53">
        <v>7644</v>
      </c>
      <c r="E27" s="53">
        <v>171</v>
      </c>
      <c r="F27" s="27" t="s">
        <v>76</v>
      </c>
      <c r="I27" s="110">
        <v>14</v>
      </c>
      <c r="J27" s="110">
        <f t="shared" si="0"/>
        <v>3.1</v>
      </c>
    </row>
    <row r="28" spans="1:10" x14ac:dyDescent="0.25">
      <c r="A28" s="47"/>
      <c r="B28" s="48"/>
      <c r="C28" s="53"/>
      <c r="D28" s="53"/>
      <c r="E28" s="53"/>
      <c r="F28" s="50" t="s">
        <v>248</v>
      </c>
      <c r="J28" s="110">
        <f t="shared" si="0"/>
        <v>0</v>
      </c>
    </row>
    <row r="29" spans="1:10" x14ac:dyDescent="0.25">
      <c r="A29" s="47" t="s">
        <v>161</v>
      </c>
      <c r="B29" s="48" t="s">
        <v>81</v>
      </c>
      <c r="C29" s="53">
        <v>1887</v>
      </c>
      <c r="D29" s="53">
        <v>7789</v>
      </c>
      <c r="E29" s="53" t="s">
        <v>223</v>
      </c>
      <c r="F29" s="27" t="s">
        <v>82</v>
      </c>
      <c r="H29" s="110">
        <v>3</v>
      </c>
      <c r="I29" s="110">
        <v>4</v>
      </c>
      <c r="J29" s="110">
        <f t="shared" si="0"/>
        <v>14</v>
      </c>
    </row>
    <row r="30" spans="1:10" x14ac:dyDescent="0.25">
      <c r="A30" s="47" t="s">
        <v>161</v>
      </c>
      <c r="B30" s="48" t="s">
        <v>81</v>
      </c>
      <c r="C30" s="53">
        <v>1887</v>
      </c>
      <c r="D30" s="53">
        <v>7790</v>
      </c>
      <c r="E30" s="53" t="s">
        <v>223</v>
      </c>
      <c r="F30" s="27" t="s">
        <v>66</v>
      </c>
      <c r="I30" s="110">
        <v>18</v>
      </c>
      <c r="J30" s="110">
        <f t="shared" si="0"/>
        <v>4</v>
      </c>
    </row>
    <row r="31" spans="1:10" x14ac:dyDescent="0.25">
      <c r="A31" s="47"/>
      <c r="B31" s="48"/>
      <c r="C31" s="48"/>
      <c r="D31" s="53"/>
      <c r="E31" s="53"/>
      <c r="F31" s="50" t="s">
        <v>249</v>
      </c>
      <c r="J31" s="110">
        <f t="shared" si="0"/>
        <v>0</v>
      </c>
    </row>
    <row r="32" spans="1:10" x14ac:dyDescent="0.25">
      <c r="A32" s="56"/>
      <c r="B32" s="57"/>
      <c r="C32" s="57"/>
      <c r="D32" s="59"/>
      <c r="E32" s="59"/>
      <c r="F32" s="58"/>
      <c r="J32" s="110">
        <f t="shared" si="0"/>
        <v>0</v>
      </c>
    </row>
    <row r="33" spans="1:11" x14ac:dyDescent="0.25">
      <c r="A33" s="55">
        <v>11302</v>
      </c>
      <c r="B33" s="48" t="s">
        <v>83</v>
      </c>
      <c r="C33" s="48">
        <v>2014</v>
      </c>
      <c r="D33" s="53">
        <v>735</v>
      </c>
      <c r="E33" s="53">
        <v>27</v>
      </c>
      <c r="F33" s="27" t="s">
        <v>84</v>
      </c>
      <c r="H33" s="110">
        <v>11</v>
      </c>
      <c r="I33" s="110">
        <v>14</v>
      </c>
      <c r="J33" s="110">
        <f t="shared" si="0"/>
        <v>51.1</v>
      </c>
    </row>
    <row r="34" spans="1:11" x14ac:dyDescent="0.25">
      <c r="A34" s="55">
        <v>11302</v>
      </c>
      <c r="B34" s="48" t="s">
        <v>83</v>
      </c>
      <c r="C34" s="48">
        <v>2014</v>
      </c>
      <c r="D34" s="53">
        <v>7445</v>
      </c>
      <c r="E34" s="53">
        <v>27</v>
      </c>
      <c r="F34" s="27" t="s">
        <v>85</v>
      </c>
      <c r="H34" s="110">
        <v>5</v>
      </c>
      <c r="I34" s="110">
        <v>1</v>
      </c>
      <c r="J34" s="110">
        <f t="shared" si="0"/>
        <v>22.1</v>
      </c>
    </row>
    <row r="35" spans="1:11" x14ac:dyDescent="0.25">
      <c r="A35" s="55"/>
      <c r="B35" s="48"/>
      <c r="C35" s="48"/>
      <c r="D35" s="53"/>
      <c r="E35" s="53"/>
      <c r="F35" s="50" t="s">
        <v>258</v>
      </c>
      <c r="J35" s="110">
        <f t="shared" si="0"/>
        <v>0</v>
      </c>
    </row>
    <row r="36" spans="1:11" x14ac:dyDescent="0.25">
      <c r="A36" s="55">
        <v>11302</v>
      </c>
      <c r="B36" s="48" t="s">
        <v>253</v>
      </c>
      <c r="C36" s="48">
        <v>2014</v>
      </c>
      <c r="D36" s="53">
        <v>792</v>
      </c>
      <c r="E36" s="53" t="s">
        <v>232</v>
      </c>
      <c r="F36" s="27" t="s">
        <v>259</v>
      </c>
      <c r="G36">
        <v>1</v>
      </c>
      <c r="H36" s="110">
        <v>3</v>
      </c>
      <c r="I36" s="110">
        <v>3</v>
      </c>
      <c r="J36" s="110">
        <f t="shared" si="0"/>
        <v>13.799999999999999</v>
      </c>
    </row>
    <row r="37" spans="1:11" x14ac:dyDescent="0.25">
      <c r="A37" s="55">
        <v>11302</v>
      </c>
      <c r="B37" s="48" t="s">
        <v>254</v>
      </c>
      <c r="C37" s="48">
        <v>2014</v>
      </c>
      <c r="D37" s="53">
        <v>1179</v>
      </c>
      <c r="E37" s="53">
        <v>27</v>
      </c>
      <c r="F37" s="27" t="s">
        <v>260</v>
      </c>
      <c r="H37" s="110">
        <v>4</v>
      </c>
      <c r="I37" s="110">
        <v>7</v>
      </c>
      <c r="J37" s="110">
        <f t="shared" si="0"/>
        <v>19</v>
      </c>
    </row>
    <row r="38" spans="1:11" x14ac:dyDescent="0.25">
      <c r="A38" s="55">
        <v>11302</v>
      </c>
      <c r="B38" s="48" t="s">
        <v>255</v>
      </c>
      <c r="C38" s="48">
        <v>2014</v>
      </c>
      <c r="D38" s="53">
        <v>790</v>
      </c>
      <c r="E38" s="53" t="s">
        <v>232</v>
      </c>
      <c r="F38" s="27" t="s">
        <v>261</v>
      </c>
      <c r="H38" s="110">
        <v>12</v>
      </c>
      <c r="I38" s="110">
        <v>12</v>
      </c>
      <c r="J38" s="110">
        <f t="shared" si="0"/>
        <v>55</v>
      </c>
    </row>
    <row r="39" spans="1:11" x14ac:dyDescent="0.25">
      <c r="A39" s="55">
        <v>11302</v>
      </c>
      <c r="B39" s="48" t="s">
        <v>256</v>
      </c>
      <c r="C39" s="48">
        <v>2014</v>
      </c>
      <c r="D39" s="53">
        <v>707</v>
      </c>
      <c r="E39" s="53">
        <v>27</v>
      </c>
      <c r="F39" s="27" t="s">
        <v>262</v>
      </c>
      <c r="H39" s="110">
        <v>11</v>
      </c>
      <c r="I39" s="110">
        <v>9</v>
      </c>
      <c r="J39" s="110">
        <f t="shared" si="0"/>
        <v>50</v>
      </c>
    </row>
    <row r="40" spans="1:11" x14ac:dyDescent="0.25">
      <c r="A40" s="55">
        <v>11302</v>
      </c>
      <c r="B40" s="48" t="s">
        <v>257</v>
      </c>
      <c r="C40" s="48">
        <v>2014</v>
      </c>
      <c r="D40" s="53">
        <v>1246</v>
      </c>
      <c r="E40" s="53">
        <v>40</v>
      </c>
      <c r="F40" s="27" t="s">
        <v>263</v>
      </c>
      <c r="H40" s="110">
        <v>2</v>
      </c>
      <c r="I40" s="110">
        <v>15</v>
      </c>
      <c r="J40" s="110">
        <f t="shared" si="0"/>
        <v>12</v>
      </c>
    </row>
    <row r="41" spans="1:11" x14ac:dyDescent="0.25">
      <c r="A41" s="55">
        <v>11302</v>
      </c>
      <c r="B41" s="48" t="s">
        <v>257</v>
      </c>
      <c r="C41" s="48">
        <v>2014</v>
      </c>
      <c r="D41" s="53">
        <v>1248</v>
      </c>
      <c r="E41" s="53">
        <v>40</v>
      </c>
      <c r="F41" s="27" t="s">
        <v>264</v>
      </c>
      <c r="H41" s="110">
        <v>3</v>
      </c>
      <c r="I41" s="110">
        <v>13</v>
      </c>
      <c r="J41" s="110">
        <f t="shared" si="0"/>
        <v>16</v>
      </c>
    </row>
    <row r="42" spans="1:11" x14ac:dyDescent="0.25">
      <c r="A42" s="55">
        <v>11302</v>
      </c>
      <c r="B42" s="48" t="s">
        <v>257</v>
      </c>
      <c r="C42" s="48">
        <v>1993</v>
      </c>
      <c r="D42" s="53">
        <v>1247</v>
      </c>
      <c r="E42" s="53">
        <v>40</v>
      </c>
      <c r="F42" s="27" t="s">
        <v>265</v>
      </c>
      <c r="H42" s="110">
        <v>3</v>
      </c>
      <c r="I42" s="110">
        <v>9</v>
      </c>
      <c r="J42" s="110">
        <f t="shared" si="0"/>
        <v>15.1</v>
      </c>
    </row>
    <row r="43" spans="1:11" x14ac:dyDescent="0.25">
      <c r="A43" s="55">
        <v>11302</v>
      </c>
      <c r="B43" s="48" t="s">
        <v>257</v>
      </c>
      <c r="C43" s="48">
        <v>2033</v>
      </c>
      <c r="D43" s="53">
        <v>1249</v>
      </c>
      <c r="E43" s="53">
        <v>40</v>
      </c>
      <c r="F43" s="27" t="s">
        <v>266</v>
      </c>
      <c r="I43" s="110">
        <v>18</v>
      </c>
      <c r="J43" s="110">
        <f t="shared" si="0"/>
        <v>4</v>
      </c>
    </row>
    <row r="44" spans="1:11" x14ac:dyDescent="0.25">
      <c r="A44" s="55"/>
      <c r="B44" s="48"/>
      <c r="C44" s="48"/>
      <c r="D44" s="53"/>
      <c r="E44" s="53"/>
      <c r="F44" s="50" t="s">
        <v>267</v>
      </c>
      <c r="J44" s="110">
        <f t="shared" si="0"/>
        <v>0</v>
      </c>
    </row>
    <row r="45" spans="1:11" x14ac:dyDescent="0.25">
      <c r="A45" s="55">
        <v>11302</v>
      </c>
      <c r="B45" s="48" t="s">
        <v>269</v>
      </c>
      <c r="C45" s="48">
        <v>1989</v>
      </c>
      <c r="D45" s="53">
        <v>1187</v>
      </c>
      <c r="E45" s="53">
        <v>103</v>
      </c>
      <c r="F45" s="27" t="s">
        <v>263</v>
      </c>
      <c r="H45" s="110">
        <v>2</v>
      </c>
      <c r="I45" s="110">
        <v>15</v>
      </c>
      <c r="J45" s="110">
        <f t="shared" si="0"/>
        <v>12</v>
      </c>
    </row>
    <row r="46" spans="1:11" x14ac:dyDescent="0.25">
      <c r="A46" s="55">
        <v>11302</v>
      </c>
      <c r="B46" s="48" t="s">
        <v>269</v>
      </c>
      <c r="C46" s="48">
        <v>1989</v>
      </c>
      <c r="D46" s="53">
        <v>1190</v>
      </c>
      <c r="E46" s="53">
        <v>103</v>
      </c>
      <c r="F46" s="27" t="s">
        <v>86</v>
      </c>
      <c r="H46" s="110">
        <v>6</v>
      </c>
      <c r="J46" s="110">
        <f t="shared" si="0"/>
        <v>26.200000000000003</v>
      </c>
    </row>
    <row r="47" spans="1:11" ht="75" x14ac:dyDescent="0.25">
      <c r="A47" s="55"/>
      <c r="B47" s="48"/>
      <c r="C47" s="112">
        <v>2142</v>
      </c>
      <c r="D47" s="113" t="s">
        <v>352</v>
      </c>
      <c r="E47" s="53">
        <v>103</v>
      </c>
      <c r="F47" s="27"/>
      <c r="H47" s="110">
        <v>4</v>
      </c>
      <c r="I47" s="110">
        <v>10</v>
      </c>
      <c r="J47" s="110">
        <f t="shared" si="0"/>
        <v>19.700000000000003</v>
      </c>
      <c r="K47" s="2" t="s">
        <v>354</v>
      </c>
    </row>
    <row r="48" spans="1:11" x14ac:dyDescent="0.25">
      <c r="A48" s="55"/>
      <c r="B48" s="48"/>
      <c r="C48" s="48"/>
      <c r="D48" s="53"/>
      <c r="E48" s="53"/>
      <c r="F48" s="50" t="s">
        <v>268</v>
      </c>
      <c r="J48" s="110">
        <f t="shared" si="0"/>
        <v>0</v>
      </c>
    </row>
    <row r="49" spans="1:10" x14ac:dyDescent="0.25">
      <c r="A49" s="55">
        <v>11302</v>
      </c>
      <c r="B49" s="48" t="s">
        <v>270</v>
      </c>
      <c r="C49" s="48">
        <v>1843</v>
      </c>
      <c r="D49" s="53">
        <v>7578</v>
      </c>
      <c r="E49" s="53">
        <v>2209</v>
      </c>
      <c r="F49" s="27"/>
      <c r="I49" s="110">
        <v>11.5</v>
      </c>
      <c r="J49" s="110">
        <f t="shared" si="0"/>
        <v>2.6</v>
      </c>
    </row>
    <row r="50" spans="1:10" x14ac:dyDescent="0.25">
      <c r="A50" s="55">
        <v>11302</v>
      </c>
      <c r="B50" s="48" t="s">
        <v>270</v>
      </c>
      <c r="C50" s="48">
        <v>1843</v>
      </c>
      <c r="D50" s="53">
        <v>7579</v>
      </c>
      <c r="E50" s="53">
        <v>2209</v>
      </c>
      <c r="F50" s="27"/>
      <c r="I50" s="110">
        <v>7</v>
      </c>
      <c r="J50" s="110">
        <f t="shared" si="0"/>
        <v>1.6</v>
      </c>
    </row>
    <row r="52" spans="1:10" x14ac:dyDescent="0.25">
      <c r="A52" s="56"/>
      <c r="B52" s="56"/>
      <c r="C52" s="56"/>
      <c r="D52" s="56"/>
      <c r="E52" s="56"/>
      <c r="F52" s="56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pane ySplit="2" topLeftCell="A9" activePane="bottomLeft" state="frozen"/>
      <selection pane="bottomLeft" activeCell="I24" sqref="I24"/>
    </sheetView>
  </sheetViews>
  <sheetFormatPr defaultRowHeight="15" x14ac:dyDescent="0.25"/>
  <cols>
    <col min="1" max="1" width="12.42578125" bestFit="1" customWidth="1"/>
    <col min="2" max="2" width="9.5703125" customWidth="1"/>
    <col min="3" max="3" width="8.7109375" customWidth="1"/>
    <col min="4" max="4" width="17.28515625" customWidth="1"/>
    <col min="5" max="5" width="15.42578125" bestFit="1" customWidth="1"/>
    <col min="6" max="6" width="12.28515625" bestFit="1" customWidth="1"/>
    <col min="7" max="7" width="6" bestFit="1" customWidth="1"/>
    <col min="8" max="8" width="5.28515625" bestFit="1" customWidth="1"/>
    <col min="9" max="9" width="8.140625" bestFit="1" customWidth="1"/>
    <col min="10" max="13" width="14.7109375" customWidth="1"/>
    <col min="14" max="14" width="20.42578125" bestFit="1" customWidth="1"/>
    <col min="15" max="15" width="19.85546875" customWidth="1"/>
    <col min="16" max="16" width="41.5703125" bestFit="1" customWidth="1"/>
  </cols>
  <sheetData>
    <row r="1" spans="1:17" x14ac:dyDescent="0.25">
      <c r="A1" s="1" t="s">
        <v>279</v>
      </c>
      <c r="B1" s="1" t="s">
        <v>296</v>
      </c>
      <c r="C1" s="1" t="s">
        <v>88</v>
      </c>
      <c r="D1" s="1" t="s">
        <v>278</v>
      </c>
      <c r="E1" s="1" t="s">
        <v>90</v>
      </c>
      <c r="F1" s="1" t="s">
        <v>280</v>
      </c>
      <c r="G1" s="62"/>
      <c r="H1" s="62"/>
      <c r="I1" s="80"/>
      <c r="J1" s="148" t="s">
        <v>346</v>
      </c>
      <c r="K1" s="148"/>
      <c r="L1" s="148"/>
      <c r="M1" s="80"/>
      <c r="N1" s="1" t="s">
        <v>283</v>
      </c>
      <c r="O1" s="1" t="s">
        <v>284</v>
      </c>
      <c r="P1" s="1" t="s">
        <v>281</v>
      </c>
      <c r="Q1" s="1" t="s">
        <v>282</v>
      </c>
    </row>
    <row r="2" spans="1:17" ht="30" x14ac:dyDescent="0.25">
      <c r="A2" s="37"/>
      <c r="B2" s="37"/>
      <c r="C2" s="37"/>
      <c r="D2" s="37"/>
      <c r="E2" s="37" t="s">
        <v>345</v>
      </c>
      <c r="F2" s="37" t="s">
        <v>319</v>
      </c>
      <c r="G2" s="37" t="s">
        <v>320</v>
      </c>
      <c r="H2" s="37" t="s">
        <v>321</v>
      </c>
      <c r="I2" s="37" t="s">
        <v>315</v>
      </c>
      <c r="J2" s="37" t="s">
        <v>13</v>
      </c>
      <c r="K2" s="37" t="s">
        <v>12</v>
      </c>
      <c r="L2" s="37" t="s">
        <v>14</v>
      </c>
      <c r="M2" s="37" t="s">
        <v>15</v>
      </c>
    </row>
    <row r="3" spans="1:17" x14ac:dyDescent="0.25">
      <c r="A3" s="93">
        <v>1</v>
      </c>
      <c r="B3" s="94">
        <v>11302</v>
      </c>
      <c r="C3" s="94">
        <v>1986</v>
      </c>
      <c r="D3" s="94">
        <v>786</v>
      </c>
      <c r="E3" s="94" t="s">
        <v>277</v>
      </c>
      <c r="F3" s="94"/>
      <c r="G3" s="94">
        <v>17</v>
      </c>
      <c r="H3" s="94">
        <v>2</v>
      </c>
      <c r="I3" s="94"/>
      <c r="N3" t="s">
        <v>285</v>
      </c>
      <c r="O3" t="s">
        <v>286</v>
      </c>
      <c r="P3" t="s">
        <v>316</v>
      </c>
    </row>
    <row r="4" spans="1:17" x14ac:dyDescent="0.25">
      <c r="A4" s="95">
        <v>16</v>
      </c>
      <c r="B4">
        <v>11299</v>
      </c>
      <c r="E4" t="s">
        <v>287</v>
      </c>
      <c r="N4" t="s">
        <v>285</v>
      </c>
      <c r="O4" t="s">
        <v>286</v>
      </c>
      <c r="P4" t="s">
        <v>316</v>
      </c>
    </row>
    <row r="5" spans="1:17" ht="30" x14ac:dyDescent="0.25">
      <c r="A5" s="99">
        <v>25</v>
      </c>
      <c r="B5" s="100">
        <v>11302</v>
      </c>
      <c r="C5" s="100">
        <v>1892</v>
      </c>
      <c r="D5" s="100" t="s">
        <v>342</v>
      </c>
      <c r="E5" s="100">
        <v>0</v>
      </c>
      <c r="F5" s="100"/>
      <c r="G5" s="100"/>
      <c r="H5" s="100"/>
      <c r="I5" s="100"/>
      <c r="N5" t="s">
        <v>290</v>
      </c>
      <c r="P5" s="2" t="s">
        <v>308</v>
      </c>
    </row>
    <row r="6" spans="1:17" ht="30" x14ac:dyDescent="0.25">
      <c r="A6" s="99">
        <v>25</v>
      </c>
      <c r="B6" s="100"/>
      <c r="C6" s="100">
        <v>1892</v>
      </c>
      <c r="D6" s="101" t="s">
        <v>341</v>
      </c>
      <c r="E6" s="100">
        <v>0</v>
      </c>
      <c r="F6" s="100"/>
      <c r="G6" s="100"/>
      <c r="H6" s="100"/>
      <c r="I6" s="100"/>
      <c r="J6" s="38"/>
      <c r="K6" s="38" t="s">
        <v>39</v>
      </c>
      <c r="L6" s="38" t="s">
        <v>237</v>
      </c>
      <c r="M6" s="38" t="s">
        <v>45</v>
      </c>
      <c r="N6" t="s">
        <v>290</v>
      </c>
    </row>
    <row r="7" spans="1:17" x14ac:dyDescent="0.25">
      <c r="A7" s="99">
        <v>25</v>
      </c>
      <c r="B7" s="100"/>
      <c r="C7" s="100">
        <v>0</v>
      </c>
      <c r="D7" s="100">
        <v>0</v>
      </c>
      <c r="E7" s="100" t="s">
        <v>288</v>
      </c>
      <c r="F7" s="100"/>
      <c r="G7" s="100"/>
      <c r="H7" s="100"/>
      <c r="I7" s="100"/>
      <c r="N7" t="s">
        <v>290</v>
      </c>
    </row>
    <row r="8" spans="1:17" ht="30" x14ac:dyDescent="0.25">
      <c r="A8" s="95">
        <v>35</v>
      </c>
      <c r="B8">
        <v>11302</v>
      </c>
      <c r="E8" t="s">
        <v>291</v>
      </c>
      <c r="N8" t="s">
        <v>292</v>
      </c>
      <c r="P8" s="2" t="s">
        <v>317</v>
      </c>
    </row>
    <row r="9" spans="1:17" ht="30" x14ac:dyDescent="0.25">
      <c r="A9" s="95">
        <v>37</v>
      </c>
      <c r="B9" s="85">
        <v>0</v>
      </c>
      <c r="C9" s="85"/>
      <c r="D9" s="85"/>
      <c r="E9" s="85" t="s">
        <v>293</v>
      </c>
      <c r="F9" s="85"/>
      <c r="G9" s="85"/>
      <c r="H9" s="85"/>
      <c r="I9" s="85"/>
      <c r="N9" t="s">
        <v>295</v>
      </c>
      <c r="P9" s="2" t="s">
        <v>318</v>
      </c>
    </row>
    <row r="10" spans="1:17" x14ac:dyDescent="0.25">
      <c r="A10" s="95"/>
      <c r="B10" s="85"/>
      <c r="C10" s="86">
        <v>2034</v>
      </c>
      <c r="D10" s="86">
        <v>7792</v>
      </c>
      <c r="E10" s="85"/>
      <c r="F10" s="85"/>
      <c r="G10" s="85">
        <v>1</v>
      </c>
      <c r="H10" s="86">
        <v>3</v>
      </c>
      <c r="I10" s="87">
        <f t="shared" ref="I10" si="0">ROUNDUP((G10*20+H10)*0.218,1)</f>
        <v>5.0999999999999996</v>
      </c>
      <c r="P10" s="2"/>
    </row>
    <row r="11" spans="1:17" x14ac:dyDescent="0.25">
      <c r="A11" s="88">
        <v>40</v>
      </c>
      <c r="B11" s="89">
        <v>11302</v>
      </c>
      <c r="C11" s="89"/>
      <c r="D11" s="89"/>
      <c r="E11" s="89" t="s">
        <v>294</v>
      </c>
      <c r="F11" s="89"/>
      <c r="G11" s="89"/>
      <c r="H11" s="89"/>
      <c r="I11" s="89"/>
      <c r="N11" t="s">
        <v>295</v>
      </c>
      <c r="O11" t="s">
        <v>298</v>
      </c>
      <c r="P11" t="s">
        <v>316</v>
      </c>
    </row>
    <row r="12" spans="1:17" x14ac:dyDescent="0.25">
      <c r="A12" s="88">
        <v>40</v>
      </c>
      <c r="B12" s="89"/>
      <c r="C12" s="90">
        <v>1993</v>
      </c>
      <c r="D12" s="90" t="s">
        <v>349</v>
      </c>
      <c r="E12" s="89"/>
      <c r="F12" s="89"/>
      <c r="G12" s="89">
        <v>3</v>
      </c>
      <c r="H12" s="89">
        <v>9</v>
      </c>
      <c r="I12" s="91">
        <f t="shared" ref="I12:I13" si="1">ROUNDUP((G12*20+H12)*0.218,1)</f>
        <v>15.1</v>
      </c>
      <c r="J12" s="38" t="s">
        <v>34</v>
      </c>
      <c r="K12" s="38" t="s">
        <v>34</v>
      </c>
      <c r="L12" s="38" t="s">
        <v>40</v>
      </c>
      <c r="M12" s="38" t="s">
        <v>43</v>
      </c>
    </row>
    <row r="13" spans="1:17" ht="18" customHeight="1" x14ac:dyDescent="0.25">
      <c r="A13" s="88">
        <v>40</v>
      </c>
      <c r="B13" s="89"/>
      <c r="C13" s="90">
        <v>2034</v>
      </c>
      <c r="D13" s="90">
        <v>7792</v>
      </c>
      <c r="E13" s="89"/>
      <c r="F13" s="89"/>
      <c r="G13" s="89">
        <v>1</v>
      </c>
      <c r="H13" s="92">
        <v>3</v>
      </c>
      <c r="I13" s="91">
        <f t="shared" si="1"/>
        <v>5.0999999999999996</v>
      </c>
      <c r="J13" s="38" t="s">
        <v>347</v>
      </c>
      <c r="K13" s="38" t="s">
        <v>21</v>
      </c>
      <c r="L13" s="38" t="s">
        <v>348</v>
      </c>
      <c r="M13" s="38" t="s">
        <v>195</v>
      </c>
    </row>
    <row r="14" spans="1:17" ht="30" x14ac:dyDescent="0.25">
      <c r="A14" s="95">
        <v>50</v>
      </c>
      <c r="B14">
        <v>11302</v>
      </c>
      <c r="E14" t="s">
        <v>297</v>
      </c>
      <c r="N14" t="s">
        <v>285</v>
      </c>
      <c r="O14" t="s">
        <v>286</v>
      </c>
      <c r="P14" s="2" t="s">
        <v>318</v>
      </c>
    </row>
    <row r="15" spans="1:17" x14ac:dyDescent="0.25">
      <c r="A15" s="95">
        <v>59</v>
      </c>
      <c r="B15">
        <v>11302</v>
      </c>
      <c r="E15" t="s">
        <v>299</v>
      </c>
      <c r="N15" t="s">
        <v>285</v>
      </c>
      <c r="O15" t="s">
        <v>286</v>
      </c>
      <c r="P15" t="s">
        <v>316</v>
      </c>
    </row>
    <row r="16" spans="1:17" x14ac:dyDescent="0.25">
      <c r="A16" s="95">
        <v>81</v>
      </c>
      <c r="B16">
        <v>11302</v>
      </c>
      <c r="E16" t="s">
        <v>300</v>
      </c>
      <c r="N16" t="s">
        <v>285</v>
      </c>
      <c r="O16" t="s">
        <v>286</v>
      </c>
      <c r="P16" t="s">
        <v>316</v>
      </c>
    </row>
    <row r="17" spans="1:16" x14ac:dyDescent="0.25">
      <c r="A17" s="102">
        <v>103</v>
      </c>
      <c r="B17" s="103">
        <v>0</v>
      </c>
      <c r="C17" s="103">
        <v>1989</v>
      </c>
      <c r="D17" s="103">
        <v>1190</v>
      </c>
      <c r="E17" s="103" t="s">
        <v>301</v>
      </c>
      <c r="F17" s="103"/>
      <c r="G17" s="103"/>
      <c r="H17" s="103"/>
      <c r="I17" s="103"/>
      <c r="N17" t="s">
        <v>285</v>
      </c>
      <c r="O17" t="s">
        <v>286</v>
      </c>
    </row>
    <row r="18" spans="1:16" x14ac:dyDescent="0.25">
      <c r="A18" s="102">
        <v>103</v>
      </c>
      <c r="B18" s="103">
        <v>0</v>
      </c>
      <c r="C18" s="103">
        <v>1989</v>
      </c>
      <c r="D18" s="103">
        <v>1187</v>
      </c>
      <c r="E18" s="103" t="s">
        <v>301</v>
      </c>
      <c r="F18" s="103"/>
      <c r="G18" s="103"/>
      <c r="H18" s="103"/>
      <c r="I18" s="103"/>
      <c r="N18" t="s">
        <v>285</v>
      </c>
      <c r="O18" t="s">
        <v>286</v>
      </c>
    </row>
    <row r="19" spans="1:16" x14ac:dyDescent="0.25">
      <c r="A19" s="102">
        <v>103</v>
      </c>
      <c r="B19" s="103">
        <v>0</v>
      </c>
      <c r="C19" s="103">
        <v>2142</v>
      </c>
      <c r="D19" s="103">
        <v>1588</v>
      </c>
      <c r="E19" s="103" t="s">
        <v>303</v>
      </c>
      <c r="F19" s="103"/>
      <c r="G19" s="103"/>
      <c r="H19" s="103"/>
      <c r="I19" s="103"/>
      <c r="N19" t="s">
        <v>285</v>
      </c>
      <c r="O19" t="s">
        <v>286</v>
      </c>
    </row>
    <row r="20" spans="1:16" x14ac:dyDescent="0.25">
      <c r="A20" s="102">
        <v>103</v>
      </c>
      <c r="B20" s="103">
        <v>0</v>
      </c>
      <c r="C20" s="103">
        <v>0</v>
      </c>
      <c r="D20" s="103">
        <v>0</v>
      </c>
      <c r="E20" s="103" t="s">
        <v>302</v>
      </c>
      <c r="F20" s="103"/>
      <c r="G20" s="103"/>
      <c r="H20" s="103"/>
      <c r="I20" s="103"/>
      <c r="N20" t="s">
        <v>285</v>
      </c>
      <c r="O20" t="s">
        <v>286</v>
      </c>
    </row>
    <row r="21" spans="1:16" x14ac:dyDescent="0.25">
      <c r="A21" s="104" t="s">
        <v>304</v>
      </c>
      <c r="B21" s="105">
        <v>0</v>
      </c>
      <c r="C21" s="105">
        <v>1892</v>
      </c>
      <c r="D21" s="105">
        <v>1544</v>
      </c>
      <c r="E21" s="105" t="s">
        <v>306</v>
      </c>
      <c r="F21" s="105"/>
      <c r="G21" s="105"/>
      <c r="H21" s="105"/>
      <c r="I21" s="105"/>
      <c r="N21" t="s">
        <v>290</v>
      </c>
      <c r="P21" s="2" t="s">
        <v>289</v>
      </c>
    </row>
    <row r="22" spans="1:16" x14ac:dyDescent="0.25">
      <c r="A22" s="104" t="s">
        <v>304</v>
      </c>
      <c r="B22" s="105"/>
      <c r="C22" s="105">
        <v>1892</v>
      </c>
      <c r="D22" s="105">
        <v>1541</v>
      </c>
      <c r="E22" s="105" t="s">
        <v>307</v>
      </c>
      <c r="F22" s="105"/>
      <c r="G22" s="105"/>
      <c r="H22" s="105"/>
      <c r="I22" s="105"/>
      <c r="N22" t="s">
        <v>290</v>
      </c>
      <c r="P22" s="2" t="s">
        <v>289</v>
      </c>
    </row>
    <row r="23" spans="1:16" x14ac:dyDescent="0.25">
      <c r="A23" s="104" t="s">
        <v>304</v>
      </c>
      <c r="B23" s="105"/>
      <c r="C23" s="105">
        <v>0</v>
      </c>
      <c r="D23" s="105">
        <v>0</v>
      </c>
      <c r="E23" s="105" t="s">
        <v>305</v>
      </c>
      <c r="F23" s="105"/>
      <c r="G23" s="105"/>
      <c r="H23" s="105"/>
      <c r="I23" s="105"/>
      <c r="N23" t="s">
        <v>290</v>
      </c>
      <c r="P23" s="2" t="s">
        <v>289</v>
      </c>
    </row>
    <row r="24" spans="1:16" ht="22.5" customHeight="1" x14ac:dyDescent="0.25">
      <c r="A24" s="106">
        <v>26</v>
      </c>
      <c r="B24" s="106"/>
      <c r="C24" s="106">
        <v>2014</v>
      </c>
      <c r="D24" s="106">
        <v>707</v>
      </c>
      <c r="E24" s="106"/>
      <c r="F24" s="107">
        <v>0</v>
      </c>
      <c r="G24" s="107">
        <v>1</v>
      </c>
      <c r="H24" s="107">
        <v>18</v>
      </c>
      <c r="I24" s="108">
        <v>8.3000000000000007</v>
      </c>
    </row>
  </sheetData>
  <mergeCells count="1">
    <mergeCell ref="J1:L1"/>
  </mergeCells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ySplit="3" topLeftCell="A7" activePane="bottomLeft" state="frozen"/>
      <selection pane="bottomLeft" activeCell="J7" sqref="J7:J11"/>
    </sheetView>
  </sheetViews>
  <sheetFormatPr defaultRowHeight="15" x14ac:dyDescent="0.25"/>
  <cols>
    <col min="2" max="2" width="21.7109375" bestFit="1" customWidth="1"/>
    <col min="3" max="3" width="12.42578125" style="63" bestFit="1" customWidth="1"/>
    <col min="4" max="4" width="12.42578125" customWidth="1"/>
    <col min="5" max="6" width="11.42578125" customWidth="1"/>
    <col min="7" max="7" width="18.140625" bestFit="1" customWidth="1"/>
    <col min="8" max="9" width="13.140625" style="110" customWidth="1"/>
    <col min="10" max="10" width="10.42578125" style="110" bestFit="1" customWidth="1"/>
    <col min="11" max="11" width="20" bestFit="1" customWidth="1"/>
    <col min="12" max="12" width="14.7109375" bestFit="1" customWidth="1"/>
  </cols>
  <sheetData>
    <row r="1" spans="1:14" ht="15.75" x14ac:dyDescent="0.25">
      <c r="B1" s="149" t="s">
        <v>309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3" spans="1:14" x14ac:dyDescent="0.25">
      <c r="B3" s="60" t="s">
        <v>18</v>
      </c>
      <c r="C3" s="76" t="s">
        <v>279</v>
      </c>
      <c r="D3" s="60" t="s">
        <v>88</v>
      </c>
      <c r="E3" s="60" t="s">
        <v>278</v>
      </c>
      <c r="F3" s="60" t="s">
        <v>327</v>
      </c>
      <c r="G3" s="60" t="s">
        <v>90</v>
      </c>
      <c r="H3" s="76" t="s">
        <v>320</v>
      </c>
      <c r="I3" s="76" t="s">
        <v>321</v>
      </c>
      <c r="J3" s="76" t="s">
        <v>315</v>
      </c>
    </row>
    <row r="4" spans="1:14" x14ac:dyDescent="0.25">
      <c r="A4" s="47" t="s">
        <v>161</v>
      </c>
      <c r="B4" s="48" t="s">
        <v>63</v>
      </c>
      <c r="C4" s="63">
        <v>7</v>
      </c>
      <c r="D4" s="64">
        <v>1993</v>
      </c>
      <c r="E4" s="64">
        <v>7528</v>
      </c>
      <c r="F4" s="64"/>
      <c r="G4" s="67" t="s">
        <v>101</v>
      </c>
      <c r="H4" s="66">
        <v>2</v>
      </c>
      <c r="I4" s="66">
        <v>15</v>
      </c>
      <c r="J4" s="114">
        <f>ROUNDUP((H4*20+I4)*0.218,1)</f>
        <v>12</v>
      </c>
    </row>
    <row r="5" spans="1:14" x14ac:dyDescent="0.25">
      <c r="A5" s="47" t="s">
        <v>161</v>
      </c>
      <c r="B5" s="48" t="s">
        <v>63</v>
      </c>
      <c r="C5" s="63">
        <v>7</v>
      </c>
      <c r="D5" s="64">
        <v>1993</v>
      </c>
      <c r="E5" s="65">
        <v>7529</v>
      </c>
      <c r="F5" s="65"/>
      <c r="G5" s="67" t="s">
        <v>110</v>
      </c>
      <c r="I5" s="110">
        <v>18</v>
      </c>
      <c r="J5" s="114">
        <f t="shared" ref="J5:J33" si="0">ROUNDUP((H5*20+I5)*0.218,1)</f>
        <v>4</v>
      </c>
    </row>
    <row r="6" spans="1:14" x14ac:dyDescent="0.25">
      <c r="A6" s="47" t="s">
        <v>161</v>
      </c>
      <c r="B6" s="48" t="s">
        <v>63</v>
      </c>
      <c r="C6" s="63">
        <v>7</v>
      </c>
      <c r="D6" s="64">
        <v>1993</v>
      </c>
      <c r="E6" s="65">
        <v>7530</v>
      </c>
      <c r="F6" s="65"/>
      <c r="G6" s="67" t="s">
        <v>111</v>
      </c>
      <c r="H6" s="110">
        <v>1</v>
      </c>
      <c r="I6" s="110">
        <v>12</v>
      </c>
      <c r="J6" s="114">
        <f t="shared" si="0"/>
        <v>7</v>
      </c>
    </row>
    <row r="7" spans="1:14" x14ac:dyDescent="0.25">
      <c r="A7" s="55">
        <v>11302</v>
      </c>
      <c r="B7" s="48" t="s">
        <v>254</v>
      </c>
      <c r="C7" s="63">
        <v>27</v>
      </c>
      <c r="D7" s="64">
        <v>2014</v>
      </c>
      <c r="E7" s="2">
        <v>1179</v>
      </c>
      <c r="F7" s="2"/>
      <c r="G7" s="67" t="s">
        <v>322</v>
      </c>
      <c r="H7" s="110">
        <v>4</v>
      </c>
      <c r="I7" s="110">
        <v>7</v>
      </c>
      <c r="J7" s="114">
        <f t="shared" si="0"/>
        <v>19</v>
      </c>
    </row>
    <row r="8" spans="1:14" x14ac:dyDescent="0.25">
      <c r="A8" s="55">
        <v>11302</v>
      </c>
      <c r="B8" s="48" t="s">
        <v>83</v>
      </c>
      <c r="C8" s="63">
        <v>27</v>
      </c>
      <c r="D8" s="64">
        <v>2014</v>
      </c>
      <c r="E8" s="64">
        <v>735</v>
      </c>
      <c r="F8" s="64"/>
      <c r="G8" s="67" t="s">
        <v>323</v>
      </c>
      <c r="H8" s="66">
        <v>11</v>
      </c>
      <c r="I8" s="66">
        <v>14</v>
      </c>
      <c r="J8" s="114">
        <f t="shared" si="0"/>
        <v>51.1</v>
      </c>
    </row>
    <row r="9" spans="1:14" x14ac:dyDescent="0.25">
      <c r="A9" s="55">
        <v>11302</v>
      </c>
      <c r="B9" s="48" t="s">
        <v>83</v>
      </c>
      <c r="C9" s="63">
        <v>27</v>
      </c>
      <c r="D9" s="64">
        <v>2014</v>
      </c>
      <c r="E9" s="64">
        <v>7445</v>
      </c>
      <c r="F9" s="64"/>
      <c r="G9" s="67" t="s">
        <v>324</v>
      </c>
      <c r="H9" s="66">
        <v>5</v>
      </c>
      <c r="I9" s="66">
        <v>1</v>
      </c>
      <c r="J9" s="114">
        <f t="shared" si="0"/>
        <v>22.1</v>
      </c>
    </row>
    <row r="10" spans="1:14" x14ac:dyDescent="0.25">
      <c r="A10" s="55">
        <v>11302</v>
      </c>
      <c r="B10" s="48" t="s">
        <v>257</v>
      </c>
      <c r="C10" s="63">
        <v>27</v>
      </c>
      <c r="D10" s="64">
        <v>2014</v>
      </c>
      <c r="E10" s="64">
        <v>1246</v>
      </c>
      <c r="F10" s="64"/>
      <c r="G10" s="67" t="s">
        <v>101</v>
      </c>
      <c r="H10" s="110">
        <v>2</v>
      </c>
      <c r="I10" s="66">
        <v>15</v>
      </c>
      <c r="J10" s="114">
        <f t="shared" si="0"/>
        <v>12</v>
      </c>
    </row>
    <row r="11" spans="1:14" x14ac:dyDescent="0.25">
      <c r="A11" s="55">
        <v>11302</v>
      </c>
      <c r="B11" s="48" t="s">
        <v>257</v>
      </c>
      <c r="C11" s="63">
        <v>27</v>
      </c>
      <c r="D11" s="64">
        <v>2014</v>
      </c>
      <c r="E11" s="64">
        <v>1248</v>
      </c>
      <c r="F11" s="64"/>
      <c r="G11" s="67" t="s">
        <v>325</v>
      </c>
      <c r="H11" s="110">
        <v>3</v>
      </c>
      <c r="I11" s="66">
        <v>13</v>
      </c>
      <c r="J11" s="114">
        <f t="shared" si="0"/>
        <v>16</v>
      </c>
    </row>
    <row r="12" spans="1:14" x14ac:dyDescent="0.25">
      <c r="A12" s="55">
        <v>11302</v>
      </c>
      <c r="B12" s="48" t="s">
        <v>257</v>
      </c>
      <c r="C12" s="73">
        <v>40</v>
      </c>
      <c r="D12" s="70">
        <v>1993</v>
      </c>
      <c r="E12" s="70">
        <v>1247</v>
      </c>
      <c r="F12" s="70"/>
      <c r="G12" s="74" t="s">
        <v>329</v>
      </c>
      <c r="H12" s="73">
        <v>3</v>
      </c>
      <c r="I12" s="73">
        <v>9</v>
      </c>
      <c r="J12" s="114">
        <f t="shared" si="0"/>
        <v>15.1</v>
      </c>
      <c r="K12" s="151" t="s">
        <v>339</v>
      </c>
    </row>
    <row r="13" spans="1:14" x14ac:dyDescent="0.25">
      <c r="A13" s="47" t="s">
        <v>161</v>
      </c>
      <c r="B13" s="48" t="s">
        <v>68</v>
      </c>
      <c r="C13" s="63">
        <v>40</v>
      </c>
      <c r="D13" s="52">
        <v>2034</v>
      </c>
      <c r="E13" s="52">
        <v>7792</v>
      </c>
      <c r="G13" s="27" t="s">
        <v>332</v>
      </c>
      <c r="H13" s="110">
        <v>1</v>
      </c>
      <c r="I13" s="66">
        <v>3</v>
      </c>
      <c r="J13" s="114">
        <f t="shared" si="0"/>
        <v>5.0999999999999996</v>
      </c>
      <c r="K13" s="151"/>
    </row>
    <row r="14" spans="1:14" x14ac:dyDescent="0.25">
      <c r="A14" s="55">
        <v>11302</v>
      </c>
      <c r="B14" s="48" t="s">
        <v>257</v>
      </c>
      <c r="C14" s="81" t="s">
        <v>331</v>
      </c>
      <c r="D14" s="82">
        <v>2033</v>
      </c>
      <c r="E14" s="82">
        <v>1249</v>
      </c>
      <c r="F14" s="82"/>
      <c r="G14" s="83" t="s">
        <v>110</v>
      </c>
      <c r="H14" s="115"/>
      <c r="I14" s="81">
        <v>18</v>
      </c>
      <c r="J14" s="116">
        <f t="shared" si="0"/>
        <v>4</v>
      </c>
    </row>
    <row r="15" spans="1:14" ht="27" customHeight="1" x14ac:dyDescent="0.25">
      <c r="A15" s="47" t="s">
        <v>161</v>
      </c>
      <c r="B15" s="48" t="s">
        <v>68</v>
      </c>
      <c r="C15" s="66" t="s">
        <v>314</v>
      </c>
      <c r="D15" s="64">
        <v>2034</v>
      </c>
      <c r="E15" s="64">
        <v>7792</v>
      </c>
      <c r="F15" s="64"/>
      <c r="G15" s="67" t="s">
        <v>313</v>
      </c>
      <c r="H15" s="110">
        <v>1</v>
      </c>
      <c r="I15" s="66">
        <v>3</v>
      </c>
      <c r="J15" s="114">
        <f t="shared" si="0"/>
        <v>5.0999999999999996</v>
      </c>
      <c r="K15" s="84" t="s">
        <v>339</v>
      </c>
    </row>
    <row r="16" spans="1:14" x14ac:dyDescent="0.25">
      <c r="A16" s="47" t="s">
        <v>161</v>
      </c>
      <c r="B16" s="48" t="s">
        <v>19</v>
      </c>
      <c r="C16" s="66">
        <v>167</v>
      </c>
      <c r="D16" s="64">
        <v>1777</v>
      </c>
      <c r="E16" s="64">
        <v>7546</v>
      </c>
      <c r="F16" s="64"/>
      <c r="G16" s="67" t="s">
        <v>312</v>
      </c>
      <c r="H16" s="66">
        <v>3</v>
      </c>
      <c r="I16" s="66">
        <v>4</v>
      </c>
      <c r="J16" s="114">
        <f t="shared" si="0"/>
        <v>14</v>
      </c>
    </row>
    <row r="17" spans="1:12" x14ac:dyDescent="0.25">
      <c r="A17" s="47" t="s">
        <v>161</v>
      </c>
      <c r="B17" s="48" t="s">
        <v>19</v>
      </c>
      <c r="C17" s="66">
        <v>168</v>
      </c>
      <c r="D17" s="64">
        <v>1839</v>
      </c>
      <c r="E17" s="64">
        <v>7545</v>
      </c>
      <c r="F17" s="64"/>
      <c r="G17" s="67" t="s">
        <v>101</v>
      </c>
      <c r="H17" s="66">
        <v>2</v>
      </c>
      <c r="I17" s="66">
        <v>15</v>
      </c>
      <c r="J17" s="114">
        <f t="shared" si="0"/>
        <v>12</v>
      </c>
    </row>
    <row r="18" spans="1:12" x14ac:dyDescent="0.25">
      <c r="A18" s="47" t="s">
        <v>161</v>
      </c>
      <c r="B18" s="48" t="s">
        <v>78</v>
      </c>
      <c r="C18" s="66">
        <v>171</v>
      </c>
      <c r="D18" s="64">
        <v>1872</v>
      </c>
      <c r="E18" s="64">
        <v>7643</v>
      </c>
      <c r="F18" s="64"/>
      <c r="G18" s="67" t="s">
        <v>310</v>
      </c>
      <c r="I18" s="66">
        <v>5</v>
      </c>
      <c r="J18" s="114">
        <f t="shared" si="0"/>
        <v>1.1000000000000001</v>
      </c>
      <c r="L18" s="150" t="s">
        <v>335</v>
      </c>
    </row>
    <row r="19" spans="1:12" x14ac:dyDescent="0.25">
      <c r="A19" s="47" t="s">
        <v>161</v>
      </c>
      <c r="B19" s="48" t="s">
        <v>78</v>
      </c>
      <c r="C19" s="66">
        <v>171</v>
      </c>
      <c r="D19" s="64">
        <v>1872</v>
      </c>
      <c r="E19" s="64">
        <v>7644</v>
      </c>
      <c r="F19" s="64"/>
      <c r="G19" s="67" t="s">
        <v>311</v>
      </c>
      <c r="I19" s="66">
        <v>14</v>
      </c>
      <c r="J19" s="114">
        <f t="shared" si="0"/>
        <v>3.1</v>
      </c>
      <c r="L19" s="150"/>
    </row>
    <row r="20" spans="1:12" x14ac:dyDescent="0.25">
      <c r="A20" s="47" t="s">
        <v>161</v>
      </c>
      <c r="B20" s="48" t="s">
        <v>242</v>
      </c>
      <c r="C20" s="66">
        <v>171</v>
      </c>
      <c r="D20" s="64">
        <v>1872</v>
      </c>
      <c r="E20" s="64">
        <v>7576</v>
      </c>
      <c r="F20" s="64">
        <v>868</v>
      </c>
      <c r="G20" s="67" t="s">
        <v>328</v>
      </c>
      <c r="H20" s="66">
        <v>1</v>
      </c>
      <c r="I20" s="66">
        <v>7</v>
      </c>
      <c r="J20" s="114">
        <f t="shared" si="0"/>
        <v>5.8999999999999995</v>
      </c>
      <c r="K20" t="s">
        <v>333</v>
      </c>
      <c r="L20" s="150" t="s">
        <v>98</v>
      </c>
    </row>
    <row r="21" spans="1:12" x14ac:dyDescent="0.25">
      <c r="A21" s="47" t="s">
        <v>161</v>
      </c>
      <c r="B21" s="48" t="s">
        <v>242</v>
      </c>
      <c r="C21" s="66">
        <v>171</v>
      </c>
      <c r="D21" s="64">
        <v>1872</v>
      </c>
      <c r="E21" s="64">
        <v>7577</v>
      </c>
      <c r="F21" s="64">
        <v>868</v>
      </c>
      <c r="G21" s="67" t="s">
        <v>110</v>
      </c>
      <c r="I21" s="66">
        <v>18</v>
      </c>
      <c r="J21" s="114">
        <f t="shared" si="0"/>
        <v>4</v>
      </c>
      <c r="K21" t="s">
        <v>333</v>
      </c>
      <c r="L21" s="150"/>
    </row>
    <row r="22" spans="1:12" x14ac:dyDescent="0.25">
      <c r="A22" s="47" t="s">
        <v>161</v>
      </c>
      <c r="B22" s="48" t="s">
        <v>78</v>
      </c>
      <c r="C22" s="68" t="s">
        <v>223</v>
      </c>
      <c r="D22" s="69">
        <v>1796</v>
      </c>
      <c r="E22" s="69">
        <v>7637</v>
      </c>
      <c r="F22" s="70"/>
      <c r="G22" s="69" t="s">
        <v>79</v>
      </c>
      <c r="H22" s="73">
        <v>4</v>
      </c>
      <c r="I22" s="73">
        <v>16</v>
      </c>
      <c r="J22" s="114">
        <f t="shared" si="0"/>
        <v>21</v>
      </c>
      <c r="L22" s="150" t="s">
        <v>336</v>
      </c>
    </row>
    <row r="23" spans="1:12" x14ac:dyDescent="0.25">
      <c r="A23" s="47" t="s">
        <v>161</v>
      </c>
      <c r="B23" s="48" t="s">
        <v>78</v>
      </c>
      <c r="C23" s="68" t="s">
        <v>223</v>
      </c>
      <c r="D23" s="69">
        <v>1796</v>
      </c>
      <c r="E23" s="69">
        <v>7641</v>
      </c>
      <c r="F23" s="70"/>
      <c r="G23" s="69" t="s">
        <v>73</v>
      </c>
      <c r="H23" s="73"/>
      <c r="I23" s="73">
        <v>9</v>
      </c>
      <c r="J23" s="114">
        <f t="shared" si="0"/>
        <v>2</v>
      </c>
      <c r="L23" s="150"/>
    </row>
    <row r="24" spans="1:12" x14ac:dyDescent="0.25">
      <c r="A24" s="47" t="s">
        <v>161</v>
      </c>
      <c r="B24" s="48" t="s">
        <v>78</v>
      </c>
      <c r="C24" s="68" t="s">
        <v>340</v>
      </c>
      <c r="D24" s="69">
        <v>1796</v>
      </c>
      <c r="E24" s="69">
        <v>7642</v>
      </c>
      <c r="F24" s="70"/>
      <c r="G24" s="69" t="s">
        <v>80</v>
      </c>
      <c r="H24" s="73">
        <v>3</v>
      </c>
      <c r="I24" s="73"/>
      <c r="J24" s="114">
        <f t="shared" si="0"/>
        <v>13.1</v>
      </c>
    </row>
    <row r="25" spans="1:12" ht="30" x14ac:dyDescent="0.25">
      <c r="A25" s="55">
        <v>11302</v>
      </c>
      <c r="B25" s="75" t="s">
        <v>330</v>
      </c>
      <c r="C25" s="66">
        <v>2209</v>
      </c>
      <c r="D25" s="64">
        <v>1843</v>
      </c>
      <c r="E25" s="64">
        <v>7578</v>
      </c>
      <c r="F25" s="64"/>
      <c r="G25" s="67" t="s">
        <v>326</v>
      </c>
      <c r="I25" s="110">
        <v>11.5</v>
      </c>
      <c r="J25" s="114">
        <f t="shared" si="0"/>
        <v>2.6</v>
      </c>
    </row>
    <row r="26" spans="1:12" ht="30" x14ac:dyDescent="0.25">
      <c r="A26" s="55">
        <v>11302</v>
      </c>
      <c r="B26" s="75" t="s">
        <v>330</v>
      </c>
      <c r="C26" s="66">
        <v>2209</v>
      </c>
      <c r="D26" s="64">
        <v>1843</v>
      </c>
      <c r="E26" s="64">
        <v>7579</v>
      </c>
      <c r="F26" s="64"/>
      <c r="G26" s="67" t="s">
        <v>106</v>
      </c>
      <c r="I26" s="110">
        <v>7</v>
      </c>
      <c r="J26" s="114">
        <f t="shared" si="0"/>
        <v>1.6</v>
      </c>
    </row>
    <row r="27" spans="1:12" x14ac:dyDescent="0.25">
      <c r="A27" s="47" t="s">
        <v>161</v>
      </c>
      <c r="B27" s="48" t="s">
        <v>251</v>
      </c>
      <c r="C27" s="77" t="s">
        <v>276</v>
      </c>
      <c r="D27" s="78">
        <v>1886</v>
      </c>
      <c r="E27" s="78">
        <v>7566</v>
      </c>
      <c r="F27" s="72"/>
      <c r="G27" s="79" t="s">
        <v>66</v>
      </c>
      <c r="H27" s="73"/>
      <c r="I27" s="73">
        <v>18</v>
      </c>
      <c r="J27" s="114">
        <f t="shared" si="0"/>
        <v>4</v>
      </c>
      <c r="K27" t="s">
        <v>72</v>
      </c>
      <c r="L27" s="150" t="s">
        <v>334</v>
      </c>
    </row>
    <row r="28" spans="1:12" x14ac:dyDescent="0.25">
      <c r="A28" s="47" t="s">
        <v>161</v>
      </c>
      <c r="B28" s="48" t="s">
        <v>251</v>
      </c>
      <c r="C28" s="77" t="s">
        <v>276</v>
      </c>
      <c r="D28" s="78">
        <v>1886</v>
      </c>
      <c r="E28" s="78">
        <v>7572</v>
      </c>
      <c r="F28" s="72"/>
      <c r="G28" s="71" t="s">
        <v>69</v>
      </c>
      <c r="H28" s="73">
        <v>1</v>
      </c>
      <c r="I28" s="73">
        <v>3</v>
      </c>
      <c r="J28" s="114">
        <f t="shared" si="0"/>
        <v>5.0999999999999996</v>
      </c>
      <c r="K28" t="s">
        <v>72</v>
      </c>
      <c r="L28" s="150"/>
    </row>
    <row r="29" spans="1:12" x14ac:dyDescent="0.25">
      <c r="A29" s="47" t="s">
        <v>161</v>
      </c>
      <c r="B29" s="48" t="s">
        <v>251</v>
      </c>
      <c r="C29" s="77" t="s">
        <v>276</v>
      </c>
      <c r="D29" s="78">
        <v>1886</v>
      </c>
      <c r="E29" s="78" t="s">
        <v>57</v>
      </c>
      <c r="F29" s="72"/>
      <c r="G29" s="71" t="s">
        <v>73</v>
      </c>
      <c r="H29" s="73"/>
      <c r="I29" s="73">
        <v>9</v>
      </c>
      <c r="J29" s="114">
        <f t="shared" si="0"/>
        <v>2</v>
      </c>
      <c r="K29" t="s">
        <v>72</v>
      </c>
      <c r="L29" s="150"/>
    </row>
    <row r="30" spans="1:12" x14ac:dyDescent="0.25">
      <c r="A30" s="47" t="s">
        <v>161</v>
      </c>
      <c r="B30" s="48" t="s">
        <v>251</v>
      </c>
      <c r="C30" s="77" t="s">
        <v>276</v>
      </c>
      <c r="D30" s="78">
        <v>1886</v>
      </c>
      <c r="E30" s="78">
        <v>7586</v>
      </c>
      <c r="F30" s="72"/>
      <c r="G30" s="71" t="s">
        <v>74</v>
      </c>
      <c r="H30" s="73"/>
      <c r="I30" s="73">
        <v>5</v>
      </c>
      <c r="J30" s="114">
        <f t="shared" si="0"/>
        <v>1.1000000000000001</v>
      </c>
      <c r="K30" t="s">
        <v>72</v>
      </c>
      <c r="L30" s="150"/>
    </row>
    <row r="31" spans="1:12" x14ac:dyDescent="0.25">
      <c r="A31" s="47" t="s">
        <v>161</v>
      </c>
      <c r="B31" s="48" t="s">
        <v>251</v>
      </c>
      <c r="C31" s="77" t="s">
        <v>276</v>
      </c>
      <c r="D31" s="78">
        <v>1886</v>
      </c>
      <c r="E31" s="78" t="s">
        <v>338</v>
      </c>
      <c r="F31" s="72"/>
      <c r="G31" s="71" t="s">
        <v>69</v>
      </c>
      <c r="H31" s="73">
        <v>1</v>
      </c>
      <c r="I31" s="73">
        <v>3</v>
      </c>
      <c r="J31" s="114">
        <f t="shared" si="0"/>
        <v>5.0999999999999996</v>
      </c>
      <c r="K31" t="s">
        <v>72</v>
      </c>
      <c r="L31" s="150"/>
    </row>
    <row r="32" spans="1:12" x14ac:dyDescent="0.25">
      <c r="A32" s="47" t="s">
        <v>161</v>
      </c>
      <c r="B32" s="48" t="s">
        <v>252</v>
      </c>
      <c r="C32" s="73">
        <v>82</v>
      </c>
      <c r="D32" s="69">
        <v>1773</v>
      </c>
      <c r="E32" s="69">
        <v>7795</v>
      </c>
      <c r="F32" s="72"/>
      <c r="G32" s="71" t="s">
        <v>76</v>
      </c>
      <c r="H32" s="73"/>
      <c r="I32" s="73">
        <v>14</v>
      </c>
      <c r="J32" s="114">
        <f t="shared" si="0"/>
        <v>3.1</v>
      </c>
    </row>
    <row r="33" spans="1:10" x14ac:dyDescent="0.25">
      <c r="A33" s="47" t="s">
        <v>161</v>
      </c>
      <c r="B33" s="48" t="s">
        <v>252</v>
      </c>
      <c r="C33" s="73">
        <v>82</v>
      </c>
      <c r="D33" s="69">
        <v>1773</v>
      </c>
      <c r="E33" s="69">
        <v>7796</v>
      </c>
      <c r="F33" s="72"/>
      <c r="G33" s="71" t="s">
        <v>77</v>
      </c>
      <c r="H33" s="73">
        <v>1</v>
      </c>
      <c r="I33" s="73">
        <v>12</v>
      </c>
      <c r="J33" s="114">
        <f t="shared" si="0"/>
        <v>7</v>
      </c>
    </row>
  </sheetData>
  <mergeCells count="6">
    <mergeCell ref="B1:N1"/>
    <mergeCell ref="L27:L31"/>
    <mergeCell ref="L20:L21"/>
    <mergeCell ref="L18:L19"/>
    <mergeCell ref="L22:L23"/>
    <mergeCell ref="K12:K13"/>
  </mergeCells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10.42578125" bestFit="1" customWidth="1"/>
    <col min="2" max="2" width="15.140625" bestFit="1" customWidth="1"/>
  </cols>
  <sheetData>
    <row r="1" spans="1:2" x14ac:dyDescent="0.25">
      <c r="A1" t="s">
        <v>344</v>
      </c>
      <c r="B1" t="s">
        <v>343</v>
      </c>
    </row>
    <row r="2" spans="1:2" x14ac:dyDescent="0.25">
      <c r="A2">
        <v>7</v>
      </c>
      <c r="B2">
        <v>8240</v>
      </c>
    </row>
    <row r="3" spans="1:2" x14ac:dyDescent="0.25">
      <c r="A3">
        <v>41</v>
      </c>
      <c r="B3">
        <v>41160</v>
      </c>
    </row>
    <row r="4" spans="1:2" x14ac:dyDescent="0.25">
      <c r="A4">
        <v>35</v>
      </c>
      <c r="B4">
        <v>35530</v>
      </c>
    </row>
    <row r="5" spans="1:2" x14ac:dyDescent="0.25">
      <c r="A5">
        <v>37</v>
      </c>
      <c r="B5">
        <v>5490</v>
      </c>
    </row>
    <row r="6" spans="1:2" x14ac:dyDescent="0.25">
      <c r="A6">
        <v>50</v>
      </c>
      <c r="B6">
        <v>54880</v>
      </c>
    </row>
    <row r="7" spans="1:2" x14ac:dyDescent="0.25">
      <c r="A7">
        <v>25</v>
      </c>
      <c r="B7">
        <v>35280</v>
      </c>
    </row>
    <row r="8" spans="1:2" x14ac:dyDescent="0.25">
      <c r="A8">
        <v>40</v>
      </c>
      <c r="B8">
        <v>8232</v>
      </c>
    </row>
    <row r="9" spans="1:2" x14ac:dyDescent="0.25">
      <c r="A9" s="61">
        <v>59</v>
      </c>
      <c r="B9">
        <v>5490</v>
      </c>
    </row>
    <row r="10" spans="1:2" x14ac:dyDescent="0.25">
      <c r="A10" s="61">
        <v>81</v>
      </c>
      <c r="B10">
        <v>8240</v>
      </c>
    </row>
    <row r="11" spans="1:2" x14ac:dyDescent="0.25">
      <c r="A11" s="61">
        <v>103</v>
      </c>
      <c r="B11">
        <v>1715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>
      <selection activeCell="I5" sqref="I5"/>
    </sheetView>
  </sheetViews>
  <sheetFormatPr defaultRowHeight="15" x14ac:dyDescent="0.25"/>
  <sheetData>
    <row r="1" spans="1:13" x14ac:dyDescent="0.25">
      <c r="B1" s="32">
        <v>0.218</v>
      </c>
    </row>
    <row r="2" spans="1:13" ht="30" x14ac:dyDescent="0.25">
      <c r="A2" s="3" t="s">
        <v>1</v>
      </c>
      <c r="B2" s="33" t="s">
        <v>18</v>
      </c>
      <c r="C2" s="35" t="s">
        <v>4</v>
      </c>
      <c r="D2" s="35" t="s">
        <v>62</v>
      </c>
      <c r="E2" s="35" t="s">
        <v>231</v>
      </c>
      <c r="F2" s="146" t="s">
        <v>7</v>
      </c>
      <c r="G2" s="147"/>
      <c r="H2" s="147"/>
      <c r="I2" s="167"/>
      <c r="J2" s="144" t="s">
        <v>11</v>
      </c>
      <c r="K2" s="144"/>
      <c r="L2" s="144"/>
      <c r="M2" s="144"/>
    </row>
    <row r="3" spans="1:13" x14ac:dyDescent="0.25">
      <c r="F3" s="120" t="s">
        <v>8</v>
      </c>
      <c r="G3" s="120" t="s">
        <v>9</v>
      </c>
      <c r="H3" s="120" t="s">
        <v>10</v>
      </c>
      <c r="I3" s="120" t="s">
        <v>0</v>
      </c>
      <c r="J3" s="120" t="s">
        <v>13</v>
      </c>
      <c r="K3" s="37" t="s">
        <v>12</v>
      </c>
      <c r="L3" s="37" t="s">
        <v>14</v>
      </c>
      <c r="M3" s="37" t="s">
        <v>15</v>
      </c>
    </row>
    <row r="4" spans="1:13" ht="18.75" x14ac:dyDescent="0.3">
      <c r="A4" s="156" t="s">
        <v>356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8"/>
    </row>
    <row r="5" spans="1:13" ht="45" x14ac:dyDescent="0.25">
      <c r="A5" s="39"/>
      <c r="B5" s="39" t="s">
        <v>359</v>
      </c>
      <c r="C5" s="43">
        <v>1773</v>
      </c>
      <c r="D5" s="43" t="s">
        <v>229</v>
      </c>
      <c r="E5" s="43">
        <v>106</v>
      </c>
      <c r="F5" s="43"/>
      <c r="G5" s="43">
        <v>0</v>
      </c>
      <c r="H5" s="43">
        <v>10</v>
      </c>
      <c r="I5" s="127">
        <f t="shared" ref="I5" si="0">((F5*20)*20+G5*20+H5)*$B$1</f>
        <v>2.1800000000000002</v>
      </c>
      <c r="J5" s="43" t="s">
        <v>46</v>
      </c>
      <c r="K5" s="39" t="s">
        <v>37</v>
      </c>
      <c r="L5" s="39" t="s">
        <v>190</v>
      </c>
      <c r="M5" s="39" t="s">
        <v>360</v>
      </c>
    </row>
    <row r="6" spans="1:13" ht="30" x14ac:dyDescent="0.25">
      <c r="A6" s="39"/>
      <c r="B6" s="39" t="s">
        <v>186</v>
      </c>
      <c r="C6" s="43">
        <v>1887</v>
      </c>
      <c r="D6" s="43" t="s">
        <v>188</v>
      </c>
      <c r="E6" s="43">
        <v>871</v>
      </c>
      <c r="F6" s="43">
        <v>0</v>
      </c>
      <c r="G6" s="43">
        <v>0</v>
      </c>
      <c r="H6" s="43">
        <v>18</v>
      </c>
      <c r="I6" s="127">
        <f>((F6*20)*20+G6*20+H6)*$B$1</f>
        <v>3.9239999999999999</v>
      </c>
      <c r="J6" s="39" t="s">
        <v>37</v>
      </c>
      <c r="K6" s="39" t="s">
        <v>361</v>
      </c>
      <c r="L6" s="39" t="s">
        <v>190</v>
      </c>
      <c r="M6" s="39" t="s">
        <v>195</v>
      </c>
    </row>
    <row r="7" spans="1:13" ht="30" x14ac:dyDescent="0.25">
      <c r="A7" s="39"/>
      <c r="B7" s="38" t="s">
        <v>19</v>
      </c>
      <c r="C7" s="43">
        <v>1839</v>
      </c>
      <c r="D7" s="43">
        <v>7545</v>
      </c>
      <c r="E7" s="43"/>
      <c r="F7" s="43">
        <v>0</v>
      </c>
      <c r="G7" s="43">
        <v>0</v>
      </c>
      <c r="H7" s="43">
        <v>16.2</v>
      </c>
      <c r="I7" s="127">
        <f>((F7*20)*20+G7*20+H7)*$B$1</f>
        <v>3.5315999999999996</v>
      </c>
      <c r="J7" s="43" t="s">
        <v>221</v>
      </c>
      <c r="K7" s="39" t="s">
        <v>37</v>
      </c>
      <c r="L7" s="38" t="s">
        <v>21</v>
      </c>
      <c r="M7" s="38" t="s">
        <v>362</v>
      </c>
    </row>
    <row r="8" spans="1:13" ht="60" x14ac:dyDescent="0.25">
      <c r="A8" s="39"/>
      <c r="B8" s="38" t="s">
        <v>239</v>
      </c>
      <c r="C8" s="43">
        <v>1777</v>
      </c>
      <c r="D8" s="43">
        <v>7546</v>
      </c>
      <c r="E8" s="43"/>
      <c r="F8" s="43">
        <v>0</v>
      </c>
      <c r="G8" s="43">
        <v>0</v>
      </c>
      <c r="H8" s="43">
        <v>18.899999999999999</v>
      </c>
      <c r="I8" s="127">
        <f t="shared" ref="I8" si="1">((F8*20)*20+G8*20+H8)*$B$1</f>
        <v>4.1201999999999996</v>
      </c>
      <c r="J8" s="43" t="s">
        <v>23</v>
      </c>
      <c r="K8" s="38" t="s">
        <v>362</v>
      </c>
      <c r="L8" s="39" t="s">
        <v>37</v>
      </c>
      <c r="M8" s="38" t="s">
        <v>23</v>
      </c>
    </row>
    <row r="9" spans="1:13" ht="45" x14ac:dyDescent="0.25">
      <c r="A9" s="39"/>
      <c r="B9" s="38" t="s">
        <v>27</v>
      </c>
      <c r="C9" s="43">
        <v>1892</v>
      </c>
      <c r="D9" s="38">
        <v>1007</v>
      </c>
      <c r="E9" s="36" t="s">
        <v>28</v>
      </c>
      <c r="F9" s="43">
        <v>0</v>
      </c>
      <c r="G9" s="43">
        <v>12</v>
      </c>
      <c r="H9" s="43">
        <v>10</v>
      </c>
      <c r="I9" s="127">
        <f>((F9*20)*20+G9*20+H9)*$B$1</f>
        <v>54.5</v>
      </c>
      <c r="J9" s="38" t="s">
        <v>363</v>
      </c>
      <c r="K9" s="39" t="s">
        <v>37</v>
      </c>
      <c r="L9" s="38"/>
      <c r="M9" s="38" t="s">
        <v>221</v>
      </c>
    </row>
    <row r="10" spans="1:13" ht="45" x14ac:dyDescent="0.25">
      <c r="A10" s="39"/>
      <c r="B10" s="38" t="s">
        <v>355</v>
      </c>
      <c r="C10" s="43">
        <v>1989</v>
      </c>
      <c r="D10" s="38">
        <v>1190</v>
      </c>
      <c r="E10" s="36">
        <v>1588</v>
      </c>
      <c r="F10" s="43">
        <v>0</v>
      </c>
      <c r="G10" s="43">
        <v>0</v>
      </c>
      <c r="H10" s="43">
        <v>15</v>
      </c>
      <c r="I10" s="41">
        <f>((F10*20)*20+G10*20+H10)*$B$1</f>
        <v>3.27</v>
      </c>
      <c r="J10" s="38" t="s">
        <v>29</v>
      </c>
      <c r="K10" s="38" t="s">
        <v>29</v>
      </c>
      <c r="L10" s="38" t="s">
        <v>29</v>
      </c>
      <c r="M10" s="38" t="s">
        <v>184</v>
      </c>
    </row>
    <row r="11" spans="1:13" x14ac:dyDescent="0.25">
      <c r="A11" s="39"/>
      <c r="B11" s="39"/>
      <c r="C11" s="43"/>
      <c r="D11" s="39"/>
      <c r="E11" s="39"/>
      <c r="F11" s="43"/>
      <c r="G11" s="43">
        <f>SUM(G5:G10)</f>
        <v>12</v>
      </c>
      <c r="H11" s="43">
        <f>SUM(H5:H10)</f>
        <v>88.1</v>
      </c>
      <c r="I11" s="41">
        <f>SUM(I6:I10)</f>
        <v>69.345799999999997</v>
      </c>
      <c r="J11" s="39"/>
      <c r="K11" s="39"/>
      <c r="L11" s="39"/>
      <c r="M11" s="39"/>
    </row>
    <row r="12" spans="1:13" x14ac:dyDescent="0.25">
      <c r="F12" s="1" t="s">
        <v>364</v>
      </c>
      <c r="G12" s="128">
        <v>16</v>
      </c>
      <c r="H12" s="128">
        <v>8.1</v>
      </c>
    </row>
    <row r="13" spans="1:13" ht="18.75" x14ac:dyDescent="0.3">
      <c r="A13" s="156" t="s">
        <v>185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8"/>
    </row>
    <row r="14" spans="1:13" ht="18.75" x14ac:dyDescent="0.3">
      <c r="A14" s="12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1:13" ht="52.5" thickBot="1" x14ac:dyDescent="0.75">
      <c r="A15" s="129"/>
      <c r="B15" s="39"/>
      <c r="C15" s="130" t="s">
        <v>365</v>
      </c>
      <c r="D15" s="39" t="s">
        <v>366</v>
      </c>
      <c r="E15" s="39" t="s">
        <v>367</v>
      </c>
      <c r="F15" s="165" t="s">
        <v>368</v>
      </c>
      <c r="G15" s="166"/>
      <c r="H15" s="166"/>
      <c r="I15" s="39"/>
      <c r="J15" s="130" t="s">
        <v>369</v>
      </c>
      <c r="K15" s="39"/>
      <c r="L15" s="39"/>
      <c r="M15" s="39"/>
    </row>
    <row r="16" spans="1:13" ht="26.25" thickBot="1" x14ac:dyDescent="0.75">
      <c r="A16" s="129"/>
      <c r="B16" s="39"/>
      <c r="C16" s="130"/>
      <c r="D16" s="39"/>
      <c r="E16" s="39"/>
      <c r="F16" s="130" t="s">
        <v>370</v>
      </c>
      <c r="G16" s="130" t="s">
        <v>371</v>
      </c>
      <c r="H16" s="130" t="s">
        <v>372</v>
      </c>
      <c r="I16" s="130" t="s">
        <v>373</v>
      </c>
      <c r="J16" s="131" t="s">
        <v>374</v>
      </c>
      <c r="K16" s="131" t="s">
        <v>375</v>
      </c>
      <c r="L16" s="131" t="s">
        <v>376</v>
      </c>
      <c r="M16" s="131" t="s">
        <v>377</v>
      </c>
    </row>
    <row r="17" spans="1:13" ht="45" x14ac:dyDescent="0.25">
      <c r="A17" s="39"/>
      <c r="B17" s="39" t="s">
        <v>359</v>
      </c>
      <c r="C17" s="43">
        <v>1773</v>
      </c>
      <c r="D17" s="43" t="s">
        <v>229</v>
      </c>
      <c r="E17" s="43">
        <v>106</v>
      </c>
      <c r="F17" s="43"/>
      <c r="G17" s="43">
        <v>0</v>
      </c>
      <c r="H17" s="43">
        <v>10</v>
      </c>
      <c r="I17" s="127">
        <f t="shared" ref="I17:I18" si="2">((F17*20)*20+G17*20+H17)*$B$1</f>
        <v>2.1800000000000002</v>
      </c>
      <c r="J17" s="43" t="s">
        <v>378</v>
      </c>
      <c r="K17" s="39" t="s">
        <v>379</v>
      </c>
      <c r="L17" s="39" t="s">
        <v>190</v>
      </c>
      <c r="M17" s="39" t="s">
        <v>360</v>
      </c>
    </row>
    <row r="18" spans="1:13" ht="30" x14ac:dyDescent="0.25">
      <c r="A18" s="39"/>
      <c r="B18" s="39" t="s">
        <v>186</v>
      </c>
      <c r="C18" s="43">
        <v>1887</v>
      </c>
      <c r="D18" s="43" t="s">
        <v>188</v>
      </c>
      <c r="E18" s="43">
        <v>871</v>
      </c>
      <c r="F18" s="43"/>
      <c r="G18" s="43"/>
      <c r="H18" s="43">
        <v>18</v>
      </c>
      <c r="I18" s="127">
        <f t="shared" si="2"/>
        <v>3.9239999999999999</v>
      </c>
      <c r="J18" s="43" t="s">
        <v>46</v>
      </c>
      <c r="K18" s="39" t="s">
        <v>378</v>
      </c>
      <c r="L18" s="39" t="s">
        <v>190</v>
      </c>
      <c r="M18" s="39" t="s">
        <v>195</v>
      </c>
    </row>
    <row r="19" spans="1:13" ht="30" x14ac:dyDescent="0.25">
      <c r="A19" s="39"/>
      <c r="B19" s="38" t="s">
        <v>19</v>
      </c>
      <c r="C19" s="43">
        <v>1839</v>
      </c>
      <c r="D19" s="43">
        <v>7545</v>
      </c>
      <c r="E19" s="43"/>
      <c r="F19" s="43">
        <v>0</v>
      </c>
      <c r="G19" s="43">
        <v>0</v>
      </c>
      <c r="H19" s="43">
        <v>16.2</v>
      </c>
      <c r="I19" s="127">
        <f>((F19*20)*20+G19*20+H19)*$B$1</f>
        <v>3.5315999999999996</v>
      </c>
      <c r="J19" s="43" t="s">
        <v>378</v>
      </c>
      <c r="K19" s="38" t="s">
        <v>221</v>
      </c>
      <c r="L19" s="38" t="s">
        <v>21</v>
      </c>
      <c r="M19" s="38" t="s">
        <v>362</v>
      </c>
    </row>
    <row r="20" spans="1:13" ht="60" x14ac:dyDescent="0.25">
      <c r="A20" s="39"/>
      <c r="B20" s="38" t="s">
        <v>239</v>
      </c>
      <c r="C20" s="43">
        <v>1777</v>
      </c>
      <c r="D20" s="43">
        <v>7546</v>
      </c>
      <c r="E20" s="43"/>
      <c r="F20" s="43">
        <v>0</v>
      </c>
      <c r="G20" s="43">
        <v>0</v>
      </c>
      <c r="H20" s="43">
        <v>18.2</v>
      </c>
      <c r="I20" s="127">
        <f t="shared" ref="I20" si="3">((F20*20)*20+G20*20+H20)*$B$1</f>
        <v>3.9676</v>
      </c>
      <c r="J20" s="43" t="s">
        <v>23</v>
      </c>
      <c r="K20" s="38" t="s">
        <v>20</v>
      </c>
      <c r="L20" s="38" t="s">
        <v>221</v>
      </c>
      <c r="M20" s="38" t="s">
        <v>378</v>
      </c>
    </row>
    <row r="21" spans="1:13" ht="30" x14ac:dyDescent="0.25">
      <c r="A21" s="39"/>
      <c r="B21" s="38" t="s">
        <v>27</v>
      </c>
      <c r="C21" s="43">
        <v>1892</v>
      </c>
      <c r="D21" s="38">
        <v>1007</v>
      </c>
      <c r="E21" s="36" t="s">
        <v>28</v>
      </c>
      <c r="F21" s="43">
        <v>0</v>
      </c>
      <c r="G21" s="43">
        <v>12</v>
      </c>
      <c r="H21" s="43">
        <v>10</v>
      </c>
      <c r="I21" s="127">
        <f>((F21*20)*20+G21*20+H21)*$B$1</f>
        <v>54.5</v>
      </c>
      <c r="J21" s="38" t="s">
        <v>378</v>
      </c>
      <c r="K21" s="38" t="s">
        <v>380</v>
      </c>
      <c r="L21" s="38" t="s">
        <v>380</v>
      </c>
      <c r="M21" s="38"/>
    </row>
    <row r="22" spans="1:13" ht="45" x14ac:dyDescent="0.25">
      <c r="A22" s="39"/>
      <c r="B22" s="38" t="s">
        <v>355</v>
      </c>
      <c r="C22" s="43">
        <v>1989</v>
      </c>
      <c r="D22" s="38">
        <v>1190</v>
      </c>
      <c r="E22" s="36">
        <v>1588</v>
      </c>
      <c r="F22" s="43">
        <v>0</v>
      </c>
      <c r="G22" s="43">
        <v>1</v>
      </c>
      <c r="H22" s="43">
        <v>10</v>
      </c>
      <c r="I22" s="41">
        <f>((F22*20)*20+G22*20+H22)*$B$1</f>
        <v>6.54</v>
      </c>
      <c r="J22" s="38" t="s">
        <v>29</v>
      </c>
      <c r="K22" s="38" t="s">
        <v>29</v>
      </c>
      <c r="L22" s="38" t="s">
        <v>29</v>
      </c>
      <c r="M22" s="38" t="s">
        <v>184</v>
      </c>
    </row>
    <row r="23" spans="1:13" x14ac:dyDescent="0.25">
      <c r="A23" s="39"/>
      <c r="B23" s="39"/>
      <c r="C23" s="43"/>
      <c r="D23" s="39"/>
      <c r="E23" s="39"/>
      <c r="F23" s="43"/>
      <c r="G23" s="43">
        <f>SUM(G17:G22)</f>
        <v>13</v>
      </c>
      <c r="H23" s="43">
        <f>SUM(H17:H22)</f>
        <v>82.4</v>
      </c>
      <c r="I23" s="41">
        <f>SUM(I17:I22)</f>
        <v>74.643200000000007</v>
      </c>
      <c r="J23" s="39"/>
      <c r="K23" s="39"/>
      <c r="L23" s="39"/>
      <c r="M23" s="39"/>
    </row>
    <row r="24" spans="1:13" x14ac:dyDescent="0.25">
      <c r="A24" s="39"/>
      <c r="B24" s="39"/>
      <c r="C24" s="43"/>
      <c r="D24" s="39"/>
      <c r="E24" s="39"/>
      <c r="F24" s="120" t="s">
        <v>364</v>
      </c>
      <c r="G24" s="120">
        <v>17</v>
      </c>
      <c r="H24" s="120">
        <v>2.4</v>
      </c>
      <c r="I24" s="41"/>
      <c r="J24" s="39"/>
      <c r="K24" s="39"/>
      <c r="L24" s="39"/>
      <c r="M24" s="39"/>
    </row>
    <row r="26" spans="1:13" ht="18.75" x14ac:dyDescent="0.3">
      <c r="A26" s="156" t="s">
        <v>204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8"/>
    </row>
    <row r="27" spans="1:13" ht="60" x14ac:dyDescent="0.25">
      <c r="A27" s="39"/>
      <c r="B27" s="39" t="s">
        <v>212</v>
      </c>
      <c r="C27" s="43">
        <v>1886</v>
      </c>
      <c r="D27" s="43">
        <v>7572</v>
      </c>
      <c r="E27" s="43" t="s">
        <v>187</v>
      </c>
      <c r="F27" s="43"/>
      <c r="G27" s="43">
        <v>1</v>
      </c>
      <c r="H27" s="43">
        <v>11</v>
      </c>
      <c r="I27" s="127">
        <f>((F27*20)*20+G27*20+H27)*$B$1</f>
        <v>6.758</v>
      </c>
      <c r="J27" s="43" t="s">
        <v>381</v>
      </c>
      <c r="K27" s="39" t="s">
        <v>46</v>
      </c>
      <c r="L27" s="39" t="s">
        <v>189</v>
      </c>
      <c r="M27" s="39" t="s">
        <v>190</v>
      </c>
    </row>
    <row r="28" spans="1:13" ht="30" x14ac:dyDescent="0.25">
      <c r="A28" s="39"/>
      <c r="B28" s="38" t="s">
        <v>19</v>
      </c>
      <c r="C28" s="43">
        <v>1839</v>
      </c>
      <c r="D28" s="43">
        <v>7545</v>
      </c>
      <c r="E28" s="43"/>
      <c r="F28" s="43">
        <v>0</v>
      </c>
      <c r="G28" s="43">
        <v>0</v>
      </c>
      <c r="H28" s="43">
        <v>16.399999999999999</v>
      </c>
      <c r="I28" s="127">
        <f>((F28*20)*20+G28*20+H28)*$B$1</f>
        <v>3.5751999999999997</v>
      </c>
      <c r="J28" s="43" t="s">
        <v>185</v>
      </c>
      <c r="K28" s="38" t="s">
        <v>21</v>
      </c>
      <c r="L28" s="38" t="s">
        <v>21</v>
      </c>
      <c r="M28" s="38" t="s">
        <v>362</v>
      </c>
    </row>
    <row r="29" spans="1:13" ht="60" x14ac:dyDescent="0.25">
      <c r="A29" s="39"/>
      <c r="B29" s="38" t="s">
        <v>239</v>
      </c>
      <c r="C29" s="43">
        <v>1777</v>
      </c>
      <c r="D29" s="43">
        <v>7546</v>
      </c>
      <c r="E29" s="43"/>
      <c r="F29" s="43">
        <v>0</v>
      </c>
      <c r="G29" s="43">
        <v>0</v>
      </c>
      <c r="H29" s="43">
        <v>18.899999999999999</v>
      </c>
      <c r="I29" s="127">
        <f t="shared" ref="I29" si="4">((F29*20)*20+G29*20+H29)*$B$1</f>
        <v>4.1201999999999996</v>
      </c>
      <c r="J29" s="43" t="s">
        <v>23</v>
      </c>
      <c r="K29" s="38" t="s">
        <v>378</v>
      </c>
      <c r="L29" s="38" t="s">
        <v>21</v>
      </c>
      <c r="M29" s="38" t="s">
        <v>185</v>
      </c>
    </row>
    <row r="30" spans="1:13" ht="30" x14ac:dyDescent="0.25">
      <c r="A30" s="39"/>
      <c r="B30" s="38" t="s">
        <v>27</v>
      </c>
      <c r="C30" s="43">
        <v>1892</v>
      </c>
      <c r="D30" s="38">
        <v>1007</v>
      </c>
      <c r="E30" s="36" t="s">
        <v>28</v>
      </c>
      <c r="F30" s="43">
        <v>0</v>
      </c>
      <c r="G30" s="43">
        <v>12</v>
      </c>
      <c r="H30" s="43">
        <v>10</v>
      </c>
      <c r="I30" s="127">
        <f>((F30*20)*20+G30*20+H30)*$B$1</f>
        <v>54.5</v>
      </c>
      <c r="J30" s="38"/>
      <c r="K30" s="38" t="s">
        <v>35</v>
      </c>
      <c r="L30" s="38" t="s">
        <v>378</v>
      </c>
      <c r="M30" s="38"/>
    </row>
    <row r="31" spans="1:13" ht="45" x14ac:dyDescent="0.25">
      <c r="A31" s="39"/>
      <c r="B31" s="38" t="s">
        <v>355</v>
      </c>
      <c r="C31" s="43">
        <v>1989</v>
      </c>
      <c r="D31" s="38">
        <v>1190</v>
      </c>
      <c r="E31" s="36">
        <v>1588</v>
      </c>
      <c r="F31" s="43">
        <v>0</v>
      </c>
      <c r="G31" s="43">
        <v>0</v>
      </c>
      <c r="H31" s="43">
        <v>15</v>
      </c>
      <c r="I31" s="127">
        <f>((F31*20)*20+G31*20+H31)*$B$1</f>
        <v>3.27</v>
      </c>
      <c r="J31" s="38" t="s">
        <v>29</v>
      </c>
      <c r="K31" s="38" t="s">
        <v>29</v>
      </c>
      <c r="L31" s="38" t="s">
        <v>29</v>
      </c>
      <c r="M31" s="38" t="s">
        <v>184</v>
      </c>
    </row>
    <row r="32" spans="1:13" x14ac:dyDescent="0.25">
      <c r="A32" s="39"/>
      <c r="B32" s="39"/>
      <c r="C32" s="38"/>
      <c r="D32" s="39"/>
      <c r="E32" s="39"/>
      <c r="F32" s="43"/>
      <c r="G32" s="43">
        <f>SUM(G27:G31)</f>
        <v>13</v>
      </c>
      <c r="H32" s="43">
        <f>SUM(H27:H31)</f>
        <v>71.3</v>
      </c>
      <c r="I32" s="41">
        <f>SUM(I27:I31)</f>
        <v>72.223399999999998</v>
      </c>
      <c r="J32" s="39"/>
      <c r="K32" s="39"/>
      <c r="L32" s="39"/>
      <c r="M32" s="39"/>
    </row>
    <row r="33" spans="1:13" x14ac:dyDescent="0.25">
      <c r="A33" s="39"/>
      <c r="B33" s="39"/>
      <c r="C33" s="38"/>
      <c r="D33" s="39"/>
      <c r="E33" s="39"/>
      <c r="F33" s="120" t="s">
        <v>364</v>
      </c>
      <c r="G33" s="120">
        <v>16</v>
      </c>
      <c r="H33" s="120">
        <v>11.3</v>
      </c>
      <c r="I33" s="41"/>
      <c r="J33" s="39"/>
      <c r="K33" s="39"/>
      <c r="L33" s="39"/>
      <c r="M33" s="39"/>
    </row>
    <row r="34" spans="1:13" x14ac:dyDescent="0.25">
      <c r="A34" s="132"/>
      <c r="B34" s="132"/>
      <c r="C34" s="133"/>
      <c r="D34" s="132"/>
      <c r="E34" s="132"/>
      <c r="F34" s="134"/>
      <c r="G34" s="134"/>
      <c r="H34" s="134"/>
      <c r="I34" s="135"/>
      <c r="J34" s="132"/>
      <c r="K34" s="132"/>
      <c r="L34" s="132"/>
      <c r="M34" s="132"/>
    </row>
    <row r="35" spans="1:13" ht="18.75" x14ac:dyDescent="0.3">
      <c r="A35" s="156" t="s">
        <v>382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8"/>
    </row>
    <row r="36" spans="1:13" ht="30" x14ac:dyDescent="0.25">
      <c r="A36" s="136" t="s">
        <v>1</v>
      </c>
      <c r="B36" s="137" t="s">
        <v>18</v>
      </c>
      <c r="C36" s="138" t="s">
        <v>4</v>
      </c>
      <c r="D36" s="138" t="s">
        <v>62</v>
      </c>
      <c r="E36" s="138" t="s">
        <v>231</v>
      </c>
      <c r="F36" s="159" t="s">
        <v>7</v>
      </c>
      <c r="G36" s="160"/>
      <c r="H36" s="160"/>
      <c r="I36" s="161"/>
      <c r="J36" s="162" t="s">
        <v>11</v>
      </c>
      <c r="K36" s="162"/>
      <c r="L36" s="162"/>
      <c r="M36" s="162"/>
    </row>
    <row r="37" spans="1:13" x14ac:dyDescent="0.25">
      <c r="F37" s="120" t="s">
        <v>8</v>
      </c>
      <c r="G37" s="120" t="s">
        <v>9</v>
      </c>
      <c r="H37" s="120" t="s">
        <v>10</v>
      </c>
      <c r="I37" s="120" t="s">
        <v>0</v>
      </c>
      <c r="J37" s="120" t="s">
        <v>13</v>
      </c>
      <c r="K37" s="37" t="s">
        <v>12</v>
      </c>
      <c r="L37" s="37" t="s">
        <v>14</v>
      </c>
      <c r="M37" s="37" t="s">
        <v>15</v>
      </c>
    </row>
    <row r="38" spans="1:13" ht="45" x14ac:dyDescent="0.25">
      <c r="B38" s="39" t="s">
        <v>209</v>
      </c>
      <c r="C38" s="43">
        <v>1796</v>
      </c>
      <c r="D38" s="43">
        <v>7642</v>
      </c>
      <c r="E38" s="43" t="s">
        <v>197</v>
      </c>
      <c r="F38" s="43"/>
      <c r="G38" s="43">
        <v>4</v>
      </c>
      <c r="H38" s="43">
        <v>5</v>
      </c>
      <c r="I38" s="127">
        <f>((F38 *20)*20+G38 *20+H38)*$B$1</f>
        <v>18.53</v>
      </c>
      <c r="J38" s="43" t="s">
        <v>46</v>
      </c>
      <c r="K38" s="39" t="s">
        <v>200</v>
      </c>
      <c r="L38" s="39" t="s">
        <v>201</v>
      </c>
      <c r="M38" s="39" t="s">
        <v>190</v>
      </c>
    </row>
    <row r="39" spans="1:13" ht="60" x14ac:dyDescent="0.25">
      <c r="B39" s="39" t="s">
        <v>210</v>
      </c>
      <c r="C39" s="43">
        <v>1886</v>
      </c>
      <c r="D39" s="43" t="s">
        <v>198</v>
      </c>
      <c r="E39" s="43">
        <v>126</v>
      </c>
      <c r="F39" s="43"/>
      <c r="G39" s="43">
        <v>1</v>
      </c>
      <c r="H39" s="43">
        <v>1</v>
      </c>
      <c r="I39" s="127">
        <f t="shared" ref="I39:I47" si="5">((F39 *20)*20+G39 *20+H39)*$B$1</f>
        <v>4.5780000000000003</v>
      </c>
      <c r="J39" s="43" t="s">
        <v>202</v>
      </c>
      <c r="K39" s="39" t="s">
        <v>190</v>
      </c>
      <c r="L39" s="39" t="s">
        <v>351</v>
      </c>
      <c r="M39" s="39" t="s">
        <v>190</v>
      </c>
    </row>
    <row r="40" spans="1:13" ht="60" x14ac:dyDescent="0.25">
      <c r="B40" s="39" t="s">
        <v>228</v>
      </c>
      <c r="C40" s="43">
        <v>1886</v>
      </c>
      <c r="D40" s="43">
        <v>7572</v>
      </c>
      <c r="E40" s="43">
        <v>112</v>
      </c>
      <c r="F40" s="43"/>
      <c r="G40" s="43">
        <v>0</v>
      </c>
      <c r="H40" s="43">
        <v>19</v>
      </c>
      <c r="I40" s="127">
        <f t="shared" si="5"/>
        <v>4.1420000000000003</v>
      </c>
      <c r="J40" s="43" t="s">
        <v>203</v>
      </c>
      <c r="K40" s="39" t="s">
        <v>204</v>
      </c>
      <c r="L40" s="39" t="s">
        <v>189</v>
      </c>
      <c r="M40" s="39" t="s">
        <v>190</v>
      </c>
    </row>
    <row r="41" spans="1:13" ht="30" x14ac:dyDescent="0.25">
      <c r="B41" s="38" t="s">
        <v>30</v>
      </c>
      <c r="C41" s="43">
        <v>2014</v>
      </c>
      <c r="D41" s="43">
        <v>1246</v>
      </c>
      <c r="E41" s="43"/>
      <c r="F41" s="119"/>
      <c r="G41" s="43">
        <v>2</v>
      </c>
      <c r="H41" s="43">
        <v>15</v>
      </c>
      <c r="I41" s="127">
        <f t="shared" si="5"/>
        <v>11.99</v>
      </c>
      <c r="J41" s="43" t="s">
        <v>34</v>
      </c>
      <c r="K41" s="38" t="s">
        <v>34</v>
      </c>
      <c r="L41" s="38" t="s">
        <v>40</v>
      </c>
      <c r="M41" s="38" t="s">
        <v>43</v>
      </c>
    </row>
    <row r="42" spans="1:13" ht="30" x14ac:dyDescent="0.25">
      <c r="B42" s="38" t="s">
        <v>30</v>
      </c>
      <c r="C42" s="43">
        <v>2014</v>
      </c>
      <c r="D42" s="43">
        <v>1248</v>
      </c>
      <c r="E42" s="43"/>
      <c r="F42" s="43"/>
      <c r="G42" s="43">
        <v>3</v>
      </c>
      <c r="H42" s="43">
        <v>13</v>
      </c>
      <c r="I42" s="127">
        <f t="shared" si="5"/>
        <v>15.914</v>
      </c>
      <c r="J42" s="43" t="s">
        <v>34</v>
      </c>
      <c r="K42" s="38" t="s">
        <v>34</v>
      </c>
      <c r="L42" s="38" t="s">
        <v>40</v>
      </c>
      <c r="M42" s="38" t="s">
        <v>43</v>
      </c>
    </row>
    <row r="43" spans="1:13" ht="30" x14ac:dyDescent="0.25">
      <c r="B43" s="38" t="s">
        <v>30</v>
      </c>
      <c r="C43" s="43">
        <v>1993</v>
      </c>
      <c r="D43" s="43">
        <v>1247</v>
      </c>
      <c r="E43" s="43"/>
      <c r="F43" s="43"/>
      <c r="G43" s="43">
        <v>3</v>
      </c>
      <c r="H43" s="43">
        <v>9</v>
      </c>
      <c r="I43" s="127">
        <f t="shared" si="5"/>
        <v>15.042</v>
      </c>
      <c r="J43" s="43" t="s">
        <v>34</v>
      </c>
      <c r="K43" s="38" t="s">
        <v>34</v>
      </c>
      <c r="L43" s="38" t="s">
        <v>40</v>
      </c>
      <c r="M43" s="38" t="s">
        <v>43</v>
      </c>
    </row>
    <row r="44" spans="1:13" ht="30" x14ac:dyDescent="0.25">
      <c r="B44" s="38" t="s">
        <v>30</v>
      </c>
      <c r="C44" s="43">
        <v>2033</v>
      </c>
      <c r="D44" s="43">
        <v>1249</v>
      </c>
      <c r="E44" s="43"/>
      <c r="F44" s="43"/>
      <c r="G44" s="43">
        <v>0</v>
      </c>
      <c r="H44" s="43">
        <v>18</v>
      </c>
      <c r="I44" s="127">
        <f t="shared" si="5"/>
        <v>3.9239999999999999</v>
      </c>
      <c r="J44" s="43" t="s">
        <v>34</v>
      </c>
      <c r="K44" s="38" t="s">
        <v>34</v>
      </c>
      <c r="L44" s="38" t="s">
        <v>40</v>
      </c>
      <c r="M44" s="38" t="s">
        <v>43</v>
      </c>
    </row>
    <row r="45" spans="1:13" ht="45" x14ac:dyDescent="0.25">
      <c r="B45" s="38" t="s">
        <v>32</v>
      </c>
      <c r="C45" s="43">
        <v>2014</v>
      </c>
      <c r="D45" s="43">
        <v>707</v>
      </c>
      <c r="E45" s="43"/>
      <c r="F45" s="43"/>
      <c r="G45" s="43">
        <v>1</v>
      </c>
      <c r="H45" s="43">
        <v>18</v>
      </c>
      <c r="I45" s="127">
        <f t="shared" si="5"/>
        <v>8.2840000000000007</v>
      </c>
      <c r="J45" s="43" t="s">
        <v>36</v>
      </c>
      <c r="K45" s="12" t="s">
        <v>42</v>
      </c>
      <c r="L45" s="12" t="s">
        <v>42</v>
      </c>
      <c r="M45" s="12" t="s">
        <v>44</v>
      </c>
    </row>
    <row r="46" spans="1:13" ht="45" x14ac:dyDescent="0.25">
      <c r="B46" s="38" t="s">
        <v>27</v>
      </c>
      <c r="C46" s="43">
        <v>1892</v>
      </c>
      <c r="D46" s="43">
        <v>1007</v>
      </c>
      <c r="E46" s="36" t="s">
        <v>28</v>
      </c>
      <c r="F46" s="43">
        <v>1</v>
      </c>
      <c r="G46" s="43">
        <v>17</v>
      </c>
      <c r="H46" s="43">
        <v>10</v>
      </c>
      <c r="I46" s="127">
        <f t="shared" si="5"/>
        <v>163.5</v>
      </c>
      <c r="J46" s="38" t="s">
        <v>37</v>
      </c>
      <c r="K46" s="38" t="s">
        <v>39</v>
      </c>
      <c r="L46" s="38" t="s">
        <v>237</v>
      </c>
      <c r="M46" s="38" t="s">
        <v>45</v>
      </c>
    </row>
    <row r="47" spans="1:13" ht="30" x14ac:dyDescent="0.25">
      <c r="B47" s="38" t="s">
        <v>31</v>
      </c>
      <c r="C47" s="43">
        <v>2014</v>
      </c>
      <c r="D47" s="43">
        <v>1179</v>
      </c>
      <c r="E47" s="36">
        <v>1572</v>
      </c>
      <c r="F47" s="43">
        <v>0</v>
      </c>
      <c r="G47" s="43">
        <v>4</v>
      </c>
      <c r="H47" s="43">
        <v>7</v>
      </c>
      <c r="I47" s="127">
        <f t="shared" si="5"/>
        <v>18.966000000000001</v>
      </c>
      <c r="J47" s="38" t="s">
        <v>35</v>
      </c>
      <c r="K47" s="38" t="s">
        <v>38</v>
      </c>
      <c r="L47" s="38" t="s">
        <v>41</v>
      </c>
      <c r="M47" s="38" t="s">
        <v>35</v>
      </c>
    </row>
    <row r="48" spans="1:13" x14ac:dyDescent="0.25">
      <c r="A48" s="39"/>
      <c r="B48" s="39"/>
      <c r="C48" s="43"/>
      <c r="D48" s="39"/>
      <c r="E48" s="39"/>
      <c r="F48" s="43"/>
      <c r="G48" s="43">
        <f>SUM(G38:G47)</f>
        <v>35</v>
      </c>
      <c r="H48" s="43">
        <f>SUM(H38:H47)</f>
        <v>115</v>
      </c>
      <c r="I48" s="127">
        <f>SUM(I38:I47)</f>
        <v>264.87</v>
      </c>
      <c r="J48" s="39"/>
      <c r="K48" s="39"/>
      <c r="L48" s="39"/>
      <c r="M48" s="39"/>
    </row>
    <row r="49" spans="1:13" x14ac:dyDescent="0.25">
      <c r="A49" s="39"/>
      <c r="B49" s="39"/>
      <c r="C49" s="43"/>
      <c r="D49" s="39"/>
      <c r="E49" s="39"/>
      <c r="F49" s="43">
        <v>2</v>
      </c>
      <c r="G49" s="43">
        <v>19</v>
      </c>
      <c r="H49" s="43">
        <v>19</v>
      </c>
      <c r="I49" s="127"/>
      <c r="J49" s="39"/>
      <c r="K49" s="39"/>
      <c r="L49" s="39"/>
      <c r="M49" s="39"/>
    </row>
    <row r="50" spans="1:13" ht="18.75" x14ac:dyDescent="0.3">
      <c r="A50" s="156" t="s">
        <v>46</v>
      </c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8"/>
    </row>
    <row r="51" spans="1:13" ht="45" x14ac:dyDescent="0.25">
      <c r="B51" s="39" t="s">
        <v>383</v>
      </c>
      <c r="C51" s="43">
        <v>1796</v>
      </c>
      <c r="D51" s="43">
        <v>7637</v>
      </c>
      <c r="E51" s="43">
        <v>844</v>
      </c>
      <c r="F51" s="43"/>
      <c r="G51" s="43">
        <v>2</v>
      </c>
      <c r="H51" s="43">
        <v>0</v>
      </c>
      <c r="I51" s="127">
        <f t="shared" ref="I51:I58" si="6">((F51 *20)*20+G51 *20+H51)*$B$1</f>
        <v>8.7200000000000006</v>
      </c>
      <c r="J51" s="43" t="s">
        <v>20</v>
      </c>
      <c r="K51" s="39" t="s">
        <v>191</v>
      </c>
      <c r="L51" s="39" t="s">
        <v>206</v>
      </c>
      <c r="M51" s="39" t="s">
        <v>190</v>
      </c>
    </row>
    <row r="52" spans="1:13" ht="60" x14ac:dyDescent="0.25">
      <c r="B52" s="39" t="s">
        <v>214</v>
      </c>
      <c r="C52" s="43">
        <v>1867</v>
      </c>
      <c r="D52" s="43" t="s">
        <v>199</v>
      </c>
      <c r="E52" s="43">
        <v>868</v>
      </c>
      <c r="F52" s="43"/>
      <c r="G52" s="43">
        <v>1</v>
      </c>
      <c r="H52" s="43">
        <v>11</v>
      </c>
      <c r="I52" s="127">
        <f t="shared" si="6"/>
        <v>6.758</v>
      </c>
      <c r="J52" s="43" t="s">
        <v>204</v>
      </c>
      <c r="K52" s="39" t="s">
        <v>20</v>
      </c>
      <c r="L52" s="39" t="s">
        <v>205</v>
      </c>
      <c r="M52" s="39" t="s">
        <v>190</v>
      </c>
    </row>
    <row r="53" spans="1:13" ht="45" x14ac:dyDescent="0.25">
      <c r="B53" s="39" t="s">
        <v>384</v>
      </c>
      <c r="C53" s="43">
        <v>1773</v>
      </c>
      <c r="D53" s="43">
        <v>7796</v>
      </c>
      <c r="E53" s="43">
        <v>110</v>
      </c>
      <c r="F53" s="43"/>
      <c r="G53" s="43">
        <v>1</v>
      </c>
      <c r="H53" s="43">
        <v>3</v>
      </c>
      <c r="I53" s="127">
        <f t="shared" si="6"/>
        <v>5.0140000000000002</v>
      </c>
      <c r="J53" s="43" t="s">
        <v>190</v>
      </c>
      <c r="K53" s="39" t="s">
        <v>385</v>
      </c>
      <c r="L53" s="39" t="s">
        <v>190</v>
      </c>
      <c r="M53" s="39" t="s">
        <v>386</v>
      </c>
    </row>
    <row r="54" spans="1:13" ht="30" x14ac:dyDescent="0.25">
      <c r="B54" s="39" t="s">
        <v>186</v>
      </c>
      <c r="C54" s="43">
        <v>1887</v>
      </c>
      <c r="D54" s="43" t="s">
        <v>188</v>
      </c>
      <c r="E54" s="43">
        <v>871</v>
      </c>
      <c r="F54" s="43"/>
      <c r="G54" s="43">
        <v>1</v>
      </c>
      <c r="H54" s="43">
        <v>10</v>
      </c>
      <c r="I54" s="127">
        <f t="shared" si="6"/>
        <v>6.54</v>
      </c>
      <c r="J54" s="43" t="s">
        <v>190</v>
      </c>
      <c r="K54" s="39" t="s">
        <v>37</v>
      </c>
      <c r="L54" s="39" t="s">
        <v>190</v>
      </c>
      <c r="M54" s="39" t="s">
        <v>195</v>
      </c>
    </row>
    <row r="55" spans="1:13" ht="30" x14ac:dyDescent="0.25">
      <c r="B55" s="38" t="s">
        <v>387</v>
      </c>
      <c r="C55" s="43">
        <v>2014</v>
      </c>
      <c r="D55" s="43">
        <v>735</v>
      </c>
      <c r="E55" s="43"/>
      <c r="F55" s="43"/>
      <c r="G55" s="43">
        <v>11</v>
      </c>
      <c r="H55" s="43">
        <v>14</v>
      </c>
      <c r="I55" s="127">
        <f t="shared" si="6"/>
        <v>51.012</v>
      </c>
      <c r="J55" s="43" t="s">
        <v>179</v>
      </c>
      <c r="K55" s="38" t="s">
        <v>20</v>
      </c>
      <c r="L55" s="38" t="s">
        <v>180</v>
      </c>
      <c r="M55" s="38" t="s">
        <v>183</v>
      </c>
    </row>
    <row r="56" spans="1:13" ht="30" x14ac:dyDescent="0.25">
      <c r="B56" s="38" t="s">
        <v>387</v>
      </c>
      <c r="C56" s="43">
        <v>2014</v>
      </c>
      <c r="D56" s="43">
        <v>7445</v>
      </c>
      <c r="E56" s="43"/>
      <c r="F56" s="43"/>
      <c r="G56" s="43">
        <v>5</v>
      </c>
      <c r="H56" s="43">
        <v>1</v>
      </c>
      <c r="I56" s="127">
        <f t="shared" si="6"/>
        <v>22.018000000000001</v>
      </c>
      <c r="J56" s="43" t="s">
        <v>20</v>
      </c>
      <c r="K56" s="38" t="s">
        <v>388</v>
      </c>
      <c r="L56" s="38" t="s">
        <v>389</v>
      </c>
      <c r="M56" s="38" t="s">
        <v>183</v>
      </c>
    </row>
    <row r="57" spans="1:13" ht="45" x14ac:dyDescent="0.25">
      <c r="B57" s="38" t="s">
        <v>48</v>
      </c>
      <c r="C57" s="43" t="s">
        <v>234</v>
      </c>
      <c r="D57" s="43">
        <v>790</v>
      </c>
      <c r="E57" s="36">
        <v>1544</v>
      </c>
      <c r="F57" s="43">
        <v>0</v>
      </c>
      <c r="G57" s="43">
        <v>12</v>
      </c>
      <c r="H57" s="43">
        <v>12</v>
      </c>
      <c r="I57" s="127">
        <f t="shared" si="6"/>
        <v>54.936</v>
      </c>
      <c r="J57" s="38" t="s">
        <v>20</v>
      </c>
      <c r="K57" s="38" t="s">
        <v>390</v>
      </c>
      <c r="L57" s="38" t="s">
        <v>176</v>
      </c>
      <c r="M57" s="38" t="s">
        <v>390</v>
      </c>
    </row>
    <row r="58" spans="1:13" ht="60" x14ac:dyDescent="0.25">
      <c r="B58" s="38" t="s">
        <v>49</v>
      </c>
      <c r="C58" s="43" t="s">
        <v>234</v>
      </c>
      <c r="D58" s="43">
        <v>792</v>
      </c>
      <c r="E58" s="36">
        <v>1541</v>
      </c>
      <c r="F58" s="43">
        <v>1</v>
      </c>
      <c r="G58" s="43">
        <v>3</v>
      </c>
      <c r="H58" s="43">
        <v>3</v>
      </c>
      <c r="I58" s="127">
        <f t="shared" si="6"/>
        <v>100.934</v>
      </c>
      <c r="J58" s="38" t="s">
        <v>178</v>
      </c>
      <c r="K58" s="38" t="s">
        <v>177</v>
      </c>
      <c r="L58" s="38" t="s">
        <v>50</v>
      </c>
      <c r="M58" s="38" t="s">
        <v>51</v>
      </c>
    </row>
    <row r="59" spans="1:13" x14ac:dyDescent="0.25">
      <c r="A59" s="39"/>
      <c r="B59" s="39"/>
      <c r="C59" s="43"/>
      <c r="D59" s="39"/>
      <c r="E59" s="39"/>
      <c r="F59" s="43">
        <f>SUM(F51:F58)</f>
        <v>1</v>
      </c>
      <c r="G59" s="43">
        <f>SUM(G51:G58)</f>
        <v>36</v>
      </c>
      <c r="H59" s="43">
        <f>SUM(H51:H58)</f>
        <v>54</v>
      </c>
      <c r="I59" s="127">
        <f>SUM(I51:I58)</f>
        <v>255.93199999999999</v>
      </c>
      <c r="J59" s="39"/>
      <c r="K59" s="39"/>
      <c r="L59" s="39"/>
      <c r="M59" s="39"/>
    </row>
    <row r="60" spans="1:13" x14ac:dyDescent="0.25">
      <c r="A60" s="39"/>
      <c r="B60" s="39"/>
      <c r="C60" s="43"/>
      <c r="D60" s="39"/>
      <c r="E60" s="37" t="s">
        <v>364</v>
      </c>
      <c r="F60" s="120">
        <v>2</v>
      </c>
      <c r="G60" s="120">
        <v>18</v>
      </c>
      <c r="H60" s="120">
        <v>11</v>
      </c>
      <c r="I60" s="127"/>
      <c r="J60" s="39"/>
      <c r="K60" s="39"/>
      <c r="L60" s="39"/>
      <c r="M60" s="39"/>
    </row>
    <row r="63" spans="1:13" ht="18.75" x14ac:dyDescent="0.3">
      <c r="A63" s="156" t="s">
        <v>391</v>
      </c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8"/>
    </row>
    <row r="64" spans="1:13" ht="30" x14ac:dyDescent="0.25">
      <c r="A64" s="136" t="s">
        <v>1</v>
      </c>
      <c r="B64" s="137" t="s">
        <v>18</v>
      </c>
      <c r="C64" s="138" t="s">
        <v>4</v>
      </c>
      <c r="D64" s="138" t="s">
        <v>62</v>
      </c>
      <c r="E64" s="138" t="s">
        <v>231</v>
      </c>
      <c r="F64" s="159" t="s">
        <v>7</v>
      </c>
      <c r="G64" s="160"/>
      <c r="H64" s="160"/>
      <c r="I64" s="161"/>
      <c r="J64" s="162" t="s">
        <v>11</v>
      </c>
      <c r="K64" s="162"/>
      <c r="L64" s="162"/>
      <c r="M64" s="162"/>
    </row>
    <row r="65" spans="1:13" x14ac:dyDescent="0.25">
      <c r="A65" s="60"/>
      <c r="B65" s="139"/>
      <c r="C65" s="138"/>
      <c r="D65" s="138"/>
      <c r="E65" s="140"/>
      <c r="F65" s="120" t="s">
        <v>8</v>
      </c>
      <c r="G65" s="120" t="s">
        <v>9</v>
      </c>
      <c r="H65" s="120" t="s">
        <v>10</v>
      </c>
      <c r="I65" s="120" t="s">
        <v>0</v>
      </c>
      <c r="J65" s="120" t="s">
        <v>13</v>
      </c>
      <c r="K65" s="37" t="s">
        <v>12</v>
      </c>
      <c r="L65" s="37" t="s">
        <v>14</v>
      </c>
      <c r="M65" s="37" t="s">
        <v>15</v>
      </c>
    </row>
    <row r="66" spans="1:13" x14ac:dyDescent="0.25">
      <c r="A66" s="14"/>
      <c r="B66" s="14" t="s">
        <v>392</v>
      </c>
      <c r="C66" s="14">
        <v>1993</v>
      </c>
      <c r="D66" s="14" t="s">
        <v>64</v>
      </c>
      <c r="E66" s="14"/>
      <c r="F66" s="14"/>
      <c r="G66" s="14">
        <v>2</v>
      </c>
      <c r="H66" s="14">
        <v>15</v>
      </c>
      <c r="I66" s="141">
        <f t="shared" ref="I66:I71" si="7">((F66 *20)*20+G66 *20+H66)*$B$1</f>
        <v>11.99</v>
      </c>
      <c r="J66" s="152" t="s">
        <v>393</v>
      </c>
      <c r="K66" s="154" t="s">
        <v>394</v>
      </c>
      <c r="L66" s="154" t="s">
        <v>395</v>
      </c>
      <c r="M66" s="154" t="s">
        <v>21</v>
      </c>
    </row>
    <row r="67" spans="1:13" x14ac:dyDescent="0.25">
      <c r="A67" s="14"/>
      <c r="B67" s="14"/>
      <c r="C67" s="14">
        <v>1993</v>
      </c>
      <c r="D67" s="14">
        <v>7529</v>
      </c>
      <c r="E67" s="14"/>
      <c r="F67" s="14"/>
      <c r="G67" s="14"/>
      <c r="H67" s="14">
        <v>18</v>
      </c>
      <c r="I67" s="141">
        <f t="shared" si="7"/>
        <v>3.9239999999999999</v>
      </c>
      <c r="J67" s="163"/>
      <c r="K67" s="164"/>
      <c r="L67" s="164"/>
      <c r="M67" s="164"/>
    </row>
    <row r="68" spans="1:13" x14ac:dyDescent="0.25">
      <c r="A68" s="14"/>
      <c r="B68" s="14"/>
      <c r="C68" s="14">
        <v>1993</v>
      </c>
      <c r="D68" s="14">
        <v>7530</v>
      </c>
      <c r="E68" s="14"/>
      <c r="F68" s="14"/>
      <c r="G68" s="14">
        <v>1</v>
      </c>
      <c r="H68" s="14">
        <v>12</v>
      </c>
      <c r="I68" s="141">
        <f t="shared" si="7"/>
        <v>6.976</v>
      </c>
      <c r="J68" s="153"/>
      <c r="K68" s="155"/>
      <c r="L68" s="155"/>
      <c r="M68" s="155"/>
    </row>
    <row r="69" spans="1:13" x14ac:dyDescent="0.25">
      <c r="A69" s="14"/>
      <c r="B69" s="14" t="s">
        <v>396</v>
      </c>
      <c r="C69" s="14">
        <v>2034</v>
      </c>
      <c r="D69" s="14">
        <v>7792</v>
      </c>
      <c r="E69" s="14"/>
      <c r="F69" s="14"/>
      <c r="G69" s="14">
        <v>1</v>
      </c>
      <c r="H69" s="14">
        <v>3</v>
      </c>
      <c r="I69" s="141">
        <f t="shared" si="7"/>
        <v>5.0140000000000002</v>
      </c>
      <c r="J69" s="14" t="s">
        <v>347</v>
      </c>
      <c r="K69" s="14" t="s">
        <v>21</v>
      </c>
      <c r="L69" s="14" t="s">
        <v>397</v>
      </c>
      <c r="M69" s="14" t="s">
        <v>195</v>
      </c>
    </row>
    <row r="70" spans="1:13" x14ac:dyDescent="0.25">
      <c r="A70" s="14"/>
      <c r="B70" s="14" t="s">
        <v>398</v>
      </c>
      <c r="C70" s="14">
        <v>1843</v>
      </c>
      <c r="D70" s="14">
        <v>7578</v>
      </c>
      <c r="E70" s="14"/>
      <c r="F70" s="14"/>
      <c r="G70" s="14"/>
      <c r="H70" s="14">
        <v>11.5</v>
      </c>
      <c r="I70" s="141">
        <f t="shared" si="7"/>
        <v>2.5070000000000001</v>
      </c>
      <c r="J70" s="152" t="s">
        <v>399</v>
      </c>
      <c r="K70" s="154" t="s">
        <v>400</v>
      </c>
      <c r="L70" s="154" t="s">
        <v>401</v>
      </c>
      <c r="M70" s="154" t="s">
        <v>221</v>
      </c>
    </row>
    <row r="71" spans="1:13" x14ac:dyDescent="0.25">
      <c r="A71" s="14"/>
      <c r="B71" s="14" t="s">
        <v>398</v>
      </c>
      <c r="C71" s="14">
        <v>1843</v>
      </c>
      <c r="D71" s="14">
        <v>7579</v>
      </c>
      <c r="E71" s="14"/>
      <c r="F71" s="14"/>
      <c r="G71" s="14" t="s">
        <v>402</v>
      </c>
      <c r="H71" s="14">
        <v>7</v>
      </c>
      <c r="I71" s="141">
        <f t="shared" si="7"/>
        <v>1.526</v>
      </c>
      <c r="J71" s="153"/>
      <c r="K71" s="155"/>
      <c r="L71" s="155"/>
      <c r="M71" s="155"/>
    </row>
    <row r="72" spans="1:13" x14ac:dyDescent="0.25">
      <c r="G72" s="142">
        <f>SUM(G66:G71)</f>
        <v>4</v>
      </c>
      <c r="H72" s="142">
        <f>SUM(H66:H71)</f>
        <v>66.5</v>
      </c>
      <c r="I72" s="142">
        <f>SUM(I66:I71)</f>
        <v>31.937000000000001</v>
      </c>
    </row>
    <row r="73" spans="1:13" x14ac:dyDescent="0.25">
      <c r="G73">
        <v>7</v>
      </c>
      <c r="H73" s="143">
        <v>6.5</v>
      </c>
      <c r="I73" s="142" t="s">
        <v>403</v>
      </c>
    </row>
  </sheetData>
  <mergeCells count="21">
    <mergeCell ref="A50:M50"/>
    <mergeCell ref="F2:I2"/>
    <mergeCell ref="J2:M2"/>
    <mergeCell ref="A4:M4"/>
    <mergeCell ref="A13:M13"/>
    <mergeCell ref="F15:H15"/>
    <mergeCell ref="A26:M26"/>
    <mergeCell ref="A35:M35"/>
    <mergeCell ref="F36:I36"/>
    <mergeCell ref="J36:M36"/>
    <mergeCell ref="J70:J71"/>
    <mergeCell ref="K70:K71"/>
    <mergeCell ref="L70:L71"/>
    <mergeCell ref="M70:M71"/>
    <mergeCell ref="A63:M63"/>
    <mergeCell ref="F64:I64"/>
    <mergeCell ref="J64:M64"/>
    <mergeCell ref="J66:J68"/>
    <mergeCell ref="K66:K68"/>
    <mergeCell ref="L66:L68"/>
    <mergeCell ref="M66:M6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E1" sqref="E1"/>
    </sheetView>
  </sheetViews>
  <sheetFormatPr defaultRowHeight="15" x14ac:dyDescent="0.25"/>
  <cols>
    <col min="1" max="1" width="13.5703125" bestFit="1" customWidth="1"/>
    <col min="3" max="3" width="16.28515625" customWidth="1"/>
    <col min="4" max="4" width="21.7109375" bestFit="1" customWidth="1"/>
  </cols>
  <sheetData>
    <row r="1" spans="1:7" x14ac:dyDescent="0.25">
      <c r="A1" s="170" t="s">
        <v>344</v>
      </c>
      <c r="B1" s="170" t="s">
        <v>88</v>
      </c>
      <c r="C1" s="170" t="s">
        <v>278</v>
      </c>
      <c r="D1" s="170" t="s">
        <v>408</v>
      </c>
      <c r="E1" s="170" t="s">
        <v>320</v>
      </c>
      <c r="F1" s="170" t="s">
        <v>409</v>
      </c>
      <c r="G1" s="170" t="s">
        <v>315</v>
      </c>
    </row>
    <row r="2" spans="1:7" x14ac:dyDescent="0.25">
      <c r="A2" s="169">
        <v>7</v>
      </c>
      <c r="B2" s="126">
        <v>1993</v>
      </c>
      <c r="C2" s="126">
        <v>7528</v>
      </c>
      <c r="D2" s="55" t="s">
        <v>405</v>
      </c>
      <c r="E2" s="126">
        <v>2</v>
      </c>
      <c r="F2" s="126">
        <v>15</v>
      </c>
      <c r="G2">
        <f>ROUNDUP((E2*20+F2)*0.218,1)</f>
        <v>12</v>
      </c>
    </row>
    <row r="3" spans="1:7" x14ac:dyDescent="0.25">
      <c r="A3" s="169"/>
      <c r="B3" s="126">
        <v>1993</v>
      </c>
      <c r="C3" s="126">
        <v>7529</v>
      </c>
      <c r="D3" s="55" t="s">
        <v>405</v>
      </c>
      <c r="E3" s="126">
        <v>0</v>
      </c>
      <c r="F3" s="126">
        <v>18</v>
      </c>
      <c r="G3">
        <f t="shared" ref="G3:G27" si="0">ROUNDUP((E3*20+F3)*0.218,1)</f>
        <v>4</v>
      </c>
    </row>
    <row r="4" spans="1:7" x14ac:dyDescent="0.25">
      <c r="A4" s="169"/>
      <c r="B4" s="126">
        <v>1993</v>
      </c>
      <c r="C4" s="126">
        <v>7530</v>
      </c>
      <c r="D4" s="55" t="s">
        <v>405</v>
      </c>
      <c r="E4" s="126">
        <v>1</v>
      </c>
      <c r="F4" s="126">
        <v>12</v>
      </c>
      <c r="G4">
        <f t="shared" si="0"/>
        <v>7</v>
      </c>
    </row>
    <row r="5" spans="1:7" ht="30" x14ac:dyDescent="0.25">
      <c r="A5" s="169">
        <v>27</v>
      </c>
      <c r="B5" s="126">
        <v>2014</v>
      </c>
      <c r="C5" s="168" t="s">
        <v>404</v>
      </c>
      <c r="D5" s="55" t="s">
        <v>254</v>
      </c>
      <c r="E5" s="126">
        <v>4</v>
      </c>
      <c r="F5" s="126">
        <v>7</v>
      </c>
      <c r="G5">
        <f t="shared" si="0"/>
        <v>19</v>
      </c>
    </row>
    <row r="6" spans="1:7" x14ac:dyDescent="0.25">
      <c r="A6" s="169"/>
      <c r="B6" s="126">
        <v>2014</v>
      </c>
      <c r="C6" s="126">
        <v>735</v>
      </c>
      <c r="D6" s="112" t="s">
        <v>83</v>
      </c>
      <c r="E6" s="126">
        <v>11</v>
      </c>
      <c r="F6" s="126">
        <v>14</v>
      </c>
      <c r="G6">
        <f t="shared" si="0"/>
        <v>51.1</v>
      </c>
    </row>
    <row r="7" spans="1:7" x14ac:dyDescent="0.25">
      <c r="A7" s="169"/>
      <c r="B7" s="126">
        <v>2014</v>
      </c>
      <c r="C7" s="126">
        <v>7445</v>
      </c>
      <c r="D7" s="112" t="s">
        <v>83</v>
      </c>
      <c r="E7" s="126">
        <v>5</v>
      </c>
      <c r="F7" s="126">
        <v>1</v>
      </c>
      <c r="G7">
        <f t="shared" si="0"/>
        <v>22.1</v>
      </c>
    </row>
    <row r="8" spans="1:7" x14ac:dyDescent="0.25">
      <c r="A8" s="169"/>
      <c r="B8" s="126">
        <v>2014</v>
      </c>
      <c r="C8" s="126">
        <v>1246</v>
      </c>
      <c r="D8" s="112" t="s">
        <v>257</v>
      </c>
      <c r="E8" s="126">
        <v>2</v>
      </c>
      <c r="F8" s="126">
        <v>15</v>
      </c>
      <c r="G8">
        <f t="shared" si="0"/>
        <v>12</v>
      </c>
    </row>
    <row r="9" spans="1:7" x14ac:dyDescent="0.25">
      <c r="A9" s="169"/>
      <c r="B9" s="126">
        <v>1993</v>
      </c>
      <c r="C9" s="126">
        <v>1247</v>
      </c>
      <c r="D9" s="112" t="s">
        <v>257</v>
      </c>
      <c r="E9" s="126">
        <v>3</v>
      </c>
      <c r="F9" s="126">
        <v>9</v>
      </c>
      <c r="G9">
        <f t="shared" si="0"/>
        <v>15.1</v>
      </c>
    </row>
    <row r="10" spans="1:7" x14ac:dyDescent="0.25">
      <c r="A10" s="169"/>
      <c r="B10" s="126">
        <v>2014</v>
      </c>
      <c r="C10" s="126">
        <v>1248</v>
      </c>
      <c r="D10" s="112" t="s">
        <v>257</v>
      </c>
      <c r="E10" s="126">
        <v>3</v>
      </c>
      <c r="F10" s="126">
        <v>13</v>
      </c>
      <c r="G10">
        <f t="shared" si="0"/>
        <v>16</v>
      </c>
    </row>
    <row r="11" spans="1:7" x14ac:dyDescent="0.25">
      <c r="A11" s="169" t="s">
        <v>314</v>
      </c>
      <c r="B11" s="126">
        <v>2033</v>
      </c>
      <c r="C11" s="126">
        <v>1249</v>
      </c>
      <c r="D11" s="112" t="s">
        <v>257</v>
      </c>
      <c r="E11" s="126">
        <v>0</v>
      </c>
      <c r="F11" s="126">
        <v>18</v>
      </c>
      <c r="G11">
        <f t="shared" si="0"/>
        <v>4</v>
      </c>
    </row>
    <row r="12" spans="1:7" x14ac:dyDescent="0.25">
      <c r="A12" s="169"/>
      <c r="B12" s="126">
        <v>2034</v>
      </c>
      <c r="C12" s="126">
        <v>7792</v>
      </c>
      <c r="D12" t="s">
        <v>68</v>
      </c>
      <c r="E12" s="126">
        <v>1</v>
      </c>
      <c r="F12" s="126">
        <v>3</v>
      </c>
      <c r="G12">
        <f t="shared" si="0"/>
        <v>5.0999999999999996</v>
      </c>
    </row>
    <row r="13" spans="1:7" x14ac:dyDescent="0.25">
      <c r="A13" s="169">
        <v>82</v>
      </c>
      <c r="B13" s="126">
        <v>1773</v>
      </c>
      <c r="C13" s="126">
        <v>7795</v>
      </c>
      <c r="D13" t="s">
        <v>406</v>
      </c>
      <c r="E13" s="126">
        <v>0</v>
      </c>
      <c r="F13" s="126">
        <v>14</v>
      </c>
      <c r="G13">
        <f t="shared" si="0"/>
        <v>3.1</v>
      </c>
    </row>
    <row r="14" spans="1:7" x14ac:dyDescent="0.25">
      <c r="A14" s="169"/>
      <c r="B14" s="126">
        <v>1773</v>
      </c>
      <c r="C14" s="126">
        <v>7796</v>
      </c>
      <c r="D14" t="s">
        <v>406</v>
      </c>
      <c r="E14" s="126">
        <v>1</v>
      </c>
      <c r="F14" s="126">
        <v>12</v>
      </c>
      <c r="G14">
        <f t="shared" si="0"/>
        <v>7</v>
      </c>
    </row>
    <row r="15" spans="1:7" x14ac:dyDescent="0.25">
      <c r="A15" s="126">
        <v>167</v>
      </c>
      <c r="B15" s="126">
        <v>1777</v>
      </c>
      <c r="C15" s="126">
        <v>7546</v>
      </c>
      <c r="D15" t="s">
        <v>19</v>
      </c>
      <c r="E15" s="126">
        <v>3</v>
      </c>
      <c r="F15" s="126">
        <v>4</v>
      </c>
      <c r="G15">
        <f t="shared" si="0"/>
        <v>14</v>
      </c>
    </row>
    <row r="16" spans="1:7" x14ac:dyDescent="0.25">
      <c r="A16" s="126">
        <v>168</v>
      </c>
      <c r="B16" s="126">
        <v>1839</v>
      </c>
      <c r="C16" s="126">
        <v>7545</v>
      </c>
      <c r="D16" t="s">
        <v>19</v>
      </c>
      <c r="E16" s="126">
        <v>2</v>
      </c>
      <c r="F16" s="126">
        <v>15</v>
      </c>
      <c r="G16">
        <f t="shared" si="0"/>
        <v>12</v>
      </c>
    </row>
    <row r="17" spans="1:7" x14ac:dyDescent="0.25">
      <c r="A17" s="169">
        <v>171</v>
      </c>
      <c r="B17" s="126">
        <v>1872</v>
      </c>
      <c r="C17" s="126">
        <v>7643</v>
      </c>
      <c r="D17" t="s">
        <v>78</v>
      </c>
      <c r="E17" s="126">
        <v>0</v>
      </c>
      <c r="F17" s="126">
        <v>5</v>
      </c>
      <c r="G17">
        <f t="shared" si="0"/>
        <v>1.1000000000000001</v>
      </c>
    </row>
    <row r="18" spans="1:7" x14ac:dyDescent="0.25">
      <c r="A18" s="169"/>
      <c r="B18" s="126">
        <v>1872</v>
      </c>
      <c r="C18" s="126">
        <v>7644</v>
      </c>
      <c r="D18" t="s">
        <v>78</v>
      </c>
      <c r="E18" s="126">
        <v>0</v>
      </c>
      <c r="F18" s="126">
        <v>14</v>
      </c>
      <c r="G18">
        <f t="shared" si="0"/>
        <v>3.1</v>
      </c>
    </row>
    <row r="19" spans="1:7" x14ac:dyDescent="0.25">
      <c r="A19" s="169"/>
      <c r="B19" s="126">
        <v>1867</v>
      </c>
      <c r="C19" s="126">
        <v>7576</v>
      </c>
      <c r="D19" t="s">
        <v>242</v>
      </c>
      <c r="E19" s="126">
        <v>1</v>
      </c>
      <c r="F19" s="126">
        <v>7</v>
      </c>
      <c r="G19">
        <f t="shared" si="0"/>
        <v>5.8999999999999995</v>
      </c>
    </row>
    <row r="20" spans="1:7" x14ac:dyDescent="0.25">
      <c r="A20" s="169"/>
      <c r="B20" s="126">
        <v>1867</v>
      </c>
      <c r="C20" s="126">
        <v>7577</v>
      </c>
      <c r="D20" t="s">
        <v>242</v>
      </c>
      <c r="E20" s="126">
        <v>0</v>
      </c>
      <c r="F20" s="126">
        <v>18</v>
      </c>
      <c r="G20">
        <f t="shared" si="0"/>
        <v>4</v>
      </c>
    </row>
    <row r="21" spans="1:7" x14ac:dyDescent="0.25">
      <c r="A21" s="169"/>
      <c r="B21" s="126">
        <v>1886</v>
      </c>
      <c r="C21" s="126">
        <v>7566</v>
      </c>
      <c r="D21" t="s">
        <v>72</v>
      </c>
      <c r="E21" s="126">
        <v>0</v>
      </c>
      <c r="F21" s="126">
        <v>18</v>
      </c>
      <c r="G21">
        <f t="shared" si="0"/>
        <v>4</v>
      </c>
    </row>
    <row r="22" spans="1:7" x14ac:dyDescent="0.25">
      <c r="A22" s="169"/>
      <c r="B22" s="126">
        <v>1886</v>
      </c>
      <c r="C22" s="126">
        <v>7572</v>
      </c>
      <c r="D22" t="s">
        <v>72</v>
      </c>
      <c r="E22" s="126">
        <v>1</v>
      </c>
      <c r="F22" s="126">
        <v>3</v>
      </c>
      <c r="G22">
        <f t="shared" si="0"/>
        <v>5.0999999999999996</v>
      </c>
    </row>
    <row r="23" spans="1:7" x14ac:dyDescent="0.25">
      <c r="A23" s="169"/>
      <c r="B23" s="126">
        <v>1886</v>
      </c>
      <c r="C23" s="126">
        <v>7574</v>
      </c>
      <c r="D23" t="s">
        <v>72</v>
      </c>
      <c r="E23" s="126">
        <v>1</v>
      </c>
      <c r="F23" s="126">
        <v>3</v>
      </c>
      <c r="G23">
        <f t="shared" si="0"/>
        <v>5.0999999999999996</v>
      </c>
    </row>
    <row r="24" spans="1:7" x14ac:dyDescent="0.25">
      <c r="A24" s="169"/>
      <c r="B24" s="126">
        <v>1886</v>
      </c>
      <c r="C24" s="126">
        <v>7575</v>
      </c>
      <c r="D24" t="s">
        <v>72</v>
      </c>
      <c r="E24" s="126">
        <v>0</v>
      </c>
      <c r="F24" s="126">
        <v>9</v>
      </c>
      <c r="G24">
        <f t="shared" si="0"/>
        <v>2</v>
      </c>
    </row>
    <row r="25" spans="1:7" x14ac:dyDescent="0.25">
      <c r="A25" s="169"/>
      <c r="B25" s="126">
        <v>1886</v>
      </c>
      <c r="C25" s="126">
        <v>7586</v>
      </c>
      <c r="D25" t="s">
        <v>72</v>
      </c>
      <c r="E25" s="126">
        <v>0</v>
      </c>
      <c r="F25" s="126">
        <v>5</v>
      </c>
      <c r="G25">
        <f t="shared" si="0"/>
        <v>1.1000000000000001</v>
      </c>
    </row>
    <row r="26" spans="1:7" x14ac:dyDescent="0.25">
      <c r="A26" s="169">
        <v>2209</v>
      </c>
      <c r="B26" s="126">
        <v>1843</v>
      </c>
      <c r="C26" s="126">
        <v>7578</v>
      </c>
      <c r="D26" t="s">
        <v>407</v>
      </c>
      <c r="E26" s="126">
        <v>0</v>
      </c>
      <c r="F26" s="126">
        <v>11.5</v>
      </c>
      <c r="G26">
        <f t="shared" si="0"/>
        <v>2.6</v>
      </c>
    </row>
    <row r="27" spans="1:7" x14ac:dyDescent="0.25">
      <c r="A27" s="169"/>
      <c r="B27" s="126">
        <v>1843</v>
      </c>
      <c r="C27" s="126">
        <v>7579</v>
      </c>
      <c r="D27" t="s">
        <v>407</v>
      </c>
      <c r="E27" s="126">
        <v>0</v>
      </c>
      <c r="F27" s="126">
        <v>7</v>
      </c>
      <c r="G27">
        <f t="shared" si="0"/>
        <v>1.6</v>
      </c>
    </row>
  </sheetData>
  <mergeCells count="6">
    <mergeCell ref="A2:A4"/>
    <mergeCell ref="A17:A25"/>
    <mergeCell ref="A26:A27"/>
    <mergeCell ref="A13:A14"/>
    <mergeCell ref="A11:A12"/>
    <mergeCell ref="A5:A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Schedule-Grameen</vt:lpstr>
      <vt:lpstr>Schedule-Shahri</vt:lpstr>
      <vt:lpstr>Kewala Information</vt:lpstr>
      <vt:lpstr>Online Status</vt:lpstr>
      <vt:lpstr>Jamabandi-Rasheed</vt:lpstr>
      <vt:lpstr>Expenses</vt:lpstr>
      <vt:lpstr>Tauji Wise Khesra</vt:lpstr>
      <vt:lpstr>Jamabandi-online</vt:lpstr>
      <vt:lpstr>Jamabandi-apply</vt:lpstr>
      <vt:lpstr>Jamabandi Vs Raseed</vt:lpstr>
      <vt:lpstr>Schedule</vt:lpstr>
      <vt:lpstr>Jamabandi-List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2025-11-19T07:03:17Z</dcterms:modified>
</cp:coreProperties>
</file>
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800" tabRatio="864"/>
  </bookViews>
  <sheets>
    <sheet name="Master-Data-Bhaiji" sheetId="2" r:id="rId1"/>
    <sheet name="UNLal Khet-Gachhi Batwara" sheetId="14" r:id="rId2"/>
    <sheet name="RNLal Khet-Gachhi Batwara" sheetId="15" r:id="rId3"/>
    <sheet name="LNLal Khet-Gachhi Batwara" sheetId="13" r:id="rId4"/>
    <sheet name="Lekh Nath Lal-SONS" sheetId="10" r:id="rId5"/>
    <sheet name="R. N. Lal" sheetId="9" r:id="rId6"/>
    <sheet name="U. N. Lal" sheetId="12" r:id="rId7"/>
    <sheet name="Sheet4" sheetId="6" r:id="rId8"/>
    <sheet name="Misc Batwara" sheetId="3" r:id="rId9"/>
    <sheet name="Aapsi Batwara" sheetId="4" r:id="rId10"/>
    <sheet name=" DISCUSSED WITH AMEEN" sheetId="5" r:id="rId11"/>
    <sheet name="Old-New Khesra" sheetId="7" r:id="rId12"/>
    <sheet name="RAKBA AS PER AMEEN" sheetId="8" r:id="rId13"/>
    <sheet name="Sheet2" sheetId="11" r:id="rId14"/>
    <sheet name="Sheet1" sheetId="16" r:id="rId15"/>
  </sheets>
  <definedNames>
    <definedName name="_xlnm._FilterDatabase" localSheetId="4" hidden="1">'Lekh Nath Lal-SONS'!$A$1:$K$2</definedName>
    <definedName name="_xlnm._FilterDatabase" localSheetId="0" hidden="1">'Master-Data-Bhaiji'!$A$3:$P$3</definedName>
    <definedName name="_xlnm._FilterDatabase" localSheetId="12" hidden="1">'RAKBA AS PER AMEEN'!$A$1:$H$38</definedName>
    <definedName name="_xlnm.Print_Area" localSheetId="3">'LNLal Khet-Gachhi Batwara'!$A$1:$K$11</definedName>
    <definedName name="_xlnm.Print_Area" localSheetId="2">'RNLal Khet-Gachhi Batwara'!$A$1:$J$9</definedName>
    <definedName name="_xlnm.Print_Area" localSheetId="1">'UNLal Khet-Gachhi Batwara'!$A$1:$J$11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16" l="1"/>
  <c r="E20" i="16"/>
  <c r="F20" i="16"/>
  <c r="A3" i="16"/>
  <c r="B3" i="16" s="1"/>
  <c r="C3" i="16" s="1"/>
  <c r="J3" i="13" l="1"/>
  <c r="N3" i="11" l="1"/>
  <c r="N4" i="11"/>
  <c r="N2" i="11"/>
  <c r="N5" i="11" s="1"/>
  <c r="J4" i="14" l="1"/>
  <c r="J5" i="14"/>
  <c r="J6" i="14"/>
  <c r="J7" i="14"/>
  <c r="J8" i="14"/>
  <c r="J9" i="14"/>
  <c r="J3" i="14"/>
  <c r="J8" i="13"/>
  <c r="J7" i="13"/>
  <c r="J6" i="13"/>
  <c r="J5" i="13"/>
  <c r="J4" i="13"/>
  <c r="J4" i="15"/>
  <c r="J5" i="15"/>
  <c r="J6" i="15"/>
  <c r="J3" i="15"/>
  <c r="F12" i="5" l="1"/>
  <c r="G4" i="5" l="1"/>
  <c r="G6" i="5" s="1"/>
  <c r="H6" i="5" s="1"/>
  <c r="K5" i="9" l="1"/>
  <c r="J5" i="9" s="1"/>
  <c r="K7" i="9"/>
  <c r="J7" i="9" s="1"/>
  <c r="K12" i="9"/>
  <c r="J12" i="9" s="1"/>
  <c r="K15" i="9"/>
  <c r="J15" i="9" s="1"/>
  <c r="K16" i="9"/>
  <c r="J16" i="9" s="1"/>
  <c r="K19" i="9"/>
  <c r="J19" i="9" s="1"/>
  <c r="K20" i="9"/>
  <c r="J20" i="9" s="1"/>
  <c r="K22" i="9"/>
  <c r="J22" i="9" s="1"/>
  <c r="K24" i="9"/>
  <c r="J24" i="9" s="1"/>
  <c r="K26" i="9"/>
  <c r="J26" i="9" s="1"/>
  <c r="K3" i="9"/>
  <c r="J3" i="9" s="1"/>
  <c r="K14" i="11" l="1"/>
  <c r="K15" i="11" s="1"/>
</calcChain>
</file>

<file path=xl/comments1.xml><?xml version="1.0" encoding="utf-8"?>
<comments xmlns="http://schemas.openxmlformats.org/spreadsheetml/2006/main">
  <authors>
    <author>Author</author>
  </authors>
  <commentList>
    <comment ref="I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total kattha seen mismatched</t>
        </r>
      </text>
    </comment>
    <comment ref="O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NAME CONFUSION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3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total kattha seen mismatched</t>
        </r>
      </text>
    </comment>
  </commentList>
</comments>
</file>

<file path=xl/sharedStrings.xml><?xml version="1.0" encoding="utf-8"?>
<sst xmlns="http://schemas.openxmlformats.org/spreadsheetml/2006/main" count="1063" uniqueCount="436">
  <si>
    <t>Khata No</t>
  </si>
  <si>
    <t>Khesra No</t>
  </si>
  <si>
    <t>Receipt Number</t>
  </si>
  <si>
    <t>Name Of Land</t>
  </si>
  <si>
    <t>Date</t>
  </si>
  <si>
    <t>Rakba</t>
  </si>
  <si>
    <t>Mandir Gharari</t>
  </si>
  <si>
    <t>7528</t>
  </si>
  <si>
    <t>18 Dhoor</t>
  </si>
  <si>
    <t>AKA</t>
  </si>
  <si>
    <t>Dada Gharari</t>
  </si>
  <si>
    <t>Old</t>
  </si>
  <si>
    <t>New</t>
  </si>
  <si>
    <t>2 Kattha + 15 Dhoor</t>
  </si>
  <si>
    <t>1 Kattha + 12 Dhoor</t>
  </si>
  <si>
    <t>Total=&gt;
5 Kattha + 5 Dhoor</t>
  </si>
  <si>
    <t>6 Kattha</t>
  </si>
  <si>
    <t>Sajhi</t>
  </si>
  <si>
    <t>Individual</t>
  </si>
  <si>
    <t>Sr. No</t>
  </si>
  <si>
    <t>Comment</t>
  </si>
  <si>
    <t>As per new survey Rakba is=&gt; 0.1745 Hectare</t>
  </si>
  <si>
    <t>Kal wala Baari</t>
  </si>
  <si>
    <t>105</t>
  </si>
  <si>
    <t>1 Kattha + 3 Dhoor</t>
  </si>
  <si>
    <t>Banthhu Gharari</t>
  </si>
  <si>
    <t>1 Kattha + 9 Dhoor</t>
  </si>
  <si>
    <t>As per new survey Rakba is=&gt; 0.0265 Hectare</t>
  </si>
  <si>
    <t>1 Kattha + 7 Dhoor</t>
  </si>
  <si>
    <t>Total=&gt;
2 Kattha + 5 Dhoor</t>
  </si>
  <si>
    <t>3 Kattha + 4 Dhoor</t>
  </si>
  <si>
    <t>Total=&gt;
5 Kattha + 19 Dhoor</t>
  </si>
  <si>
    <t>Ayodhyi Gharari</t>
  </si>
  <si>
    <t>Samne wala Bari</t>
  </si>
  <si>
    <t>Kewala Date: 22-09-1941 Shri Raj Narayn Lal Se</t>
  </si>
  <si>
    <t>Doman Das Gharari</t>
  </si>
  <si>
    <t>9 Dhoor</t>
  </si>
  <si>
    <t>5 Dhoor</t>
  </si>
  <si>
    <t>7575</t>
  </si>
  <si>
    <t>Total=&gt;
3 Kattha + 18 Dhoor</t>
  </si>
  <si>
    <t>1. 11-11-1938: Shri Raj Narayan Lal se 1/3 hissa</t>
  </si>
  <si>
    <t>3. 13-04-1943: Brij Bihari Lal se 1/3 hissa</t>
  </si>
  <si>
    <t>2. 04-10-1940: Shri Sukar Lal se 1/3 hissa</t>
  </si>
  <si>
    <t>14 Dhoor</t>
  </si>
  <si>
    <t>1 kattha 12 Dhoor</t>
  </si>
  <si>
    <t>Jhagraua Bari</t>
  </si>
  <si>
    <t>1. 29.10.1927 Shri Anup Lal Anhrathari se</t>
  </si>
  <si>
    <t>3 Biggha 16 Kattha 07 Dhoor</t>
  </si>
  <si>
    <t>Chabhacha, Singhari</t>
  </si>
  <si>
    <t>1. 30.04.1912 Mittha se</t>
  </si>
  <si>
    <t>Total= 2 Kattha 6 Dhoor</t>
  </si>
  <si>
    <t>4 Kattha 16 Dhoor</t>
  </si>
  <si>
    <t>3 Kattha</t>
  </si>
  <si>
    <t>(Total 9 Kattha 4 Dhoor</t>
  </si>
  <si>
    <t>Eska Rasid Dalan Bala Bari sath Katata hai</t>
  </si>
  <si>
    <t>Dalaan Bari</t>
  </si>
  <si>
    <t>Doman Dasak Gharari</t>
  </si>
  <si>
    <t>3 Kattha 4 Dhoor</t>
  </si>
  <si>
    <t>Total 2 Kattha 14 Purnank 2 Batta 3</t>
  </si>
  <si>
    <t>Basobas (Purna Gharari)</t>
  </si>
  <si>
    <t>Total kattha mismatched</t>
  </si>
  <si>
    <t>SECTION-B MAUJE BASUDEO PUR MALTAUJI NO 11299 PARGANE  PURV BHIGO</t>
  </si>
  <si>
    <t>SECTION -A MAUJE BASUDEO PUR MUDDHALAHAPATTI TAUJI NO. 11302 PARGANE PURV BHIGO THANA DARBHANGA</t>
  </si>
  <si>
    <t>11 KATTHA 14 DHOOR</t>
  </si>
  <si>
    <t>5 KATTHA 1 DHOOR</t>
  </si>
  <si>
    <t>16 KATTHA 15 DHOOR</t>
  </si>
  <si>
    <t>1 BIGGHA 3 KATTHA 3 DHOOR</t>
  </si>
  <si>
    <t>NASI</t>
  </si>
  <si>
    <t>4 KATTHA 7 DHOOR</t>
  </si>
  <si>
    <t>EKA  AMMA</t>
  </si>
  <si>
    <t>12 KATTHA 12 DHOOR</t>
  </si>
  <si>
    <t>NASI KE UPAR</t>
  </si>
  <si>
    <t>11 KATTHA 9 DHOOR</t>
  </si>
  <si>
    <t>DU AMMA  (SIKMI)</t>
  </si>
  <si>
    <t>2 KATTHA 15 DHOOR</t>
  </si>
  <si>
    <t>PUBARIA KALAM</t>
  </si>
  <si>
    <t>3 KATTH 13 DHOOR</t>
  </si>
  <si>
    <t>3 KATTHA 9 DHOOR</t>
  </si>
  <si>
    <t>18 DHOOR</t>
  </si>
  <si>
    <t>TOTAL  10 KATTHA 15 DHOOR</t>
  </si>
  <si>
    <t>KEWALA DATE 13-07-1927  SHRI JAGESWAR LAL SHRI TIHESWAR LAL</t>
  </si>
  <si>
    <t>KEWALA DATE-06-10-1948 SHRI SINGHESWAR LAL SE 1 BATTA 3 HISSA KHARID</t>
  </si>
  <si>
    <t>1 KATTHA 3 DHOOR</t>
  </si>
  <si>
    <t>DADA GHARARI</t>
  </si>
  <si>
    <t>1 KATTHA 12 DHOOR</t>
  </si>
  <si>
    <t>TOTAL 5 KATTHA 5 DHOOR</t>
  </si>
  <si>
    <t>KEWALA DATE 10-11-1933 KO SINGHESWAR LAL AND MOSMAT DURGABATI</t>
  </si>
  <si>
    <t>6 KATTHA</t>
  </si>
  <si>
    <t>TOTAL 8 KATTHA 15 DHOOR</t>
  </si>
  <si>
    <t>KEWALA DATE 15-09-1938 SHRI AYODHYA LAL</t>
  </si>
  <si>
    <t>KHARAHORI</t>
  </si>
  <si>
    <t>5 KATTHA 19 DHOOR</t>
  </si>
  <si>
    <t>POKHARI KAAT</t>
  </si>
  <si>
    <t>KEWALA DATE 12-03-34 SHRI BANWARI LAL SE</t>
  </si>
  <si>
    <t>2 KATTHA 6 DHOOR</t>
  </si>
  <si>
    <t>BANDOBASTI HAL</t>
  </si>
  <si>
    <t xml:space="preserve">KONHI </t>
  </si>
  <si>
    <t>DEBU GHARARI (NOT READABLE)</t>
  </si>
  <si>
    <t>Neeras Lal Ke Gharari</t>
  </si>
  <si>
    <t>I think already sold to Kulpati Lal Das</t>
  </si>
  <si>
    <t>PACHHAWARIA KALAM</t>
  </si>
  <si>
    <t>Kewala Date: 23-04-1930 Shri Ayodhya Lal se</t>
  </si>
  <si>
    <t>IN HECTARE</t>
  </si>
  <si>
    <t>TOTAL</t>
  </si>
  <si>
    <t>2.67 D</t>
  </si>
  <si>
    <t>0.62 D</t>
  </si>
  <si>
    <t>0.92 D</t>
  </si>
  <si>
    <t>0.53 D</t>
  </si>
  <si>
    <t>0.18 D</t>
  </si>
  <si>
    <t>0.12 D</t>
  </si>
  <si>
    <t>0.14 D</t>
  </si>
  <si>
    <t>0.23 D</t>
  </si>
  <si>
    <t>1.080</t>
  </si>
  <si>
    <t>0.251</t>
  </si>
  <si>
    <t>5 Acre 42 D</t>
  </si>
  <si>
    <t>2.193</t>
  </si>
  <si>
    <t>Rakba( IN decimal)</t>
  </si>
  <si>
    <t>Lekhnath Lal Das &amp;
Umanath Lal Das &amp;
Rewati Nath Lal
s/o Rameshwar Lal Das
Ans sman</t>
  </si>
  <si>
    <t>Name of Land</t>
  </si>
  <si>
    <t>Vedanand Lal</t>
  </si>
  <si>
    <t>Brahmanand Lal</t>
  </si>
  <si>
    <t>Jayanand</t>
  </si>
  <si>
    <t>Krishnanand</t>
  </si>
  <si>
    <t>Dharmanand</t>
  </si>
  <si>
    <t>LEKHNATH LAL</t>
  </si>
  <si>
    <t>UMANANTH LAL</t>
  </si>
  <si>
    <t>REWATI NATH LAL</t>
  </si>
  <si>
    <t>1 KATTHA 11 DHOOR</t>
  </si>
  <si>
    <t>KHAJOOR WALA BARI</t>
  </si>
  <si>
    <t>2 KATTHA  7 PURNANK 3 BATTA 4</t>
  </si>
  <si>
    <t>DAI GHARARI</t>
  </si>
  <si>
    <t>2 KATTHA</t>
  </si>
  <si>
    <t>7 KATTHA 1 PURNAK 3 BATTA 4</t>
  </si>
  <si>
    <t>SONS</t>
  </si>
  <si>
    <t>DALAN WALA BARI</t>
  </si>
  <si>
    <t>BEL WALA BARI</t>
  </si>
  <si>
    <t>1 KATTHA 1 PURNAK 3 BATTA 4</t>
  </si>
  <si>
    <t>PHOOL WALAK ANSH</t>
  </si>
  <si>
    <t>1 KATTHA 8 DHOOR</t>
  </si>
  <si>
    <t>6 KATTHA 16 PURNAK 3 BATTA 4</t>
  </si>
  <si>
    <t>742, 443</t>
  </si>
  <si>
    <t>BASOWASAK ANSH</t>
  </si>
  <si>
    <t>PHOOL WALA BARIK ANSK</t>
  </si>
  <si>
    <t>8 DHOOR</t>
  </si>
  <si>
    <t>BAARI SAMNE</t>
  </si>
  <si>
    <t>4 KATTHA 4 PURNAK 3 BATTA 4</t>
  </si>
  <si>
    <t>KAPILESHWAR BABA BAARI</t>
  </si>
  <si>
    <t>13 DHOOR</t>
  </si>
  <si>
    <t>Jiwananad</t>
  </si>
  <si>
    <t>Kirtianand Lal</t>
  </si>
  <si>
    <t>183/1616</t>
  </si>
  <si>
    <t>0.46 D</t>
  </si>
  <si>
    <t>Type of Land</t>
  </si>
  <si>
    <t>1423/1007 Ansh</t>
  </si>
  <si>
    <t>1419/1007  Ansh</t>
  </si>
  <si>
    <t>0.93 D</t>
  </si>
  <si>
    <t>Dhanhar 2</t>
  </si>
  <si>
    <t>1572/1179</t>
  </si>
  <si>
    <t>Bheeth</t>
  </si>
  <si>
    <t>1583/1187</t>
  </si>
  <si>
    <t>1541/792</t>
  </si>
  <si>
    <t>1544/790</t>
  </si>
  <si>
    <t>1586/1198</t>
  </si>
  <si>
    <t>1588/1190</t>
  </si>
  <si>
    <t>83/7529,7530,7528
ansh</t>
  </si>
  <si>
    <t>0.1230 [0.1745]</t>
  </si>
  <si>
    <t>105/7792</t>
  </si>
  <si>
    <t>0.0265</t>
  </si>
  <si>
    <t>112/7578,7553,7574,7576</t>
  </si>
  <si>
    <t>0.0415</t>
  </si>
  <si>
    <t>114/7578</t>
  </si>
  <si>
    <t>0.0145 [0.0120]</t>
  </si>
  <si>
    <t>0.2025</t>
  </si>
  <si>
    <t>126/7566</t>
  </si>
  <si>
    <t>0.0205</t>
  </si>
  <si>
    <t>Lal didi lag gharari</t>
  </si>
  <si>
    <t>Mandir pachhu gharari</t>
  </si>
  <si>
    <t>Kaal wala baari</t>
  </si>
  <si>
    <t>Samne wala baari</t>
  </si>
  <si>
    <t>Bel baari enaar</t>
  </si>
  <si>
    <t>Pubariya baari samne</t>
  </si>
  <si>
    <t>842/(7642,7643,7644)</t>
  </si>
  <si>
    <t>208/(1246,1247,1248,1249)
[7546,7547,7548,7549] TBD</t>
  </si>
  <si>
    <t>0.0520 [0.0505]</t>
  </si>
  <si>
    <t>843/(7637,7642,7641)</t>
  </si>
  <si>
    <t>0.075</t>
  </si>
  <si>
    <t>0.0005</t>
  </si>
  <si>
    <t>0.0025</t>
  </si>
  <si>
    <t>0.0075</t>
  </si>
  <si>
    <t>0.0090</t>
  </si>
  <si>
    <t>844/(7637)</t>
  </si>
  <si>
    <t>0.0330</t>
  </si>
  <si>
    <t>868/(7576)</t>
  </si>
  <si>
    <t>0.0390</t>
  </si>
  <si>
    <t>Samne Gharari 1</t>
  </si>
  <si>
    <t>Dalan wala baari Bhaiya Kakka</t>
  </si>
  <si>
    <t>Dalan wala baari bauwa kaka</t>
  </si>
  <si>
    <t>Umanath Lal Das &amp;
Rewati Nath Lal s/o Rameshwar Lal Das
2 ans sman &amp; 
Vedanand Lal, Kirtianand Lal, Brahmanand Lal s/o Lekhnath Lal 1 ans saman</t>
  </si>
  <si>
    <t>Umanath Lal Das &amp; Rewati Nath Lal s/o Rameshwar Lal Das 10 ans sman &amp;
Vedanand Lal, Kirtianand Lal, Brahmanand Lal s/o Lekhnath Lal 
5 ans saman &amp; Baijnath Lal Das, Narendra Lal Das 
s/o Singheswar Lal Das 3 Ans saman</t>
  </si>
  <si>
    <t>871(7789,7790)</t>
  </si>
  <si>
    <t>0.305</t>
  </si>
  <si>
    <t>0.2015</t>
  </si>
  <si>
    <t>0.2075</t>
  </si>
  <si>
    <t>0.2055</t>
  </si>
  <si>
    <t>0.2020</t>
  </si>
  <si>
    <t>0.2030</t>
  </si>
  <si>
    <t>0.520</t>
  </si>
  <si>
    <t>Basowas</t>
  </si>
  <si>
    <t>Umanath Lal Das &amp;
Rewati Nath Lal s/o Rameshwar Lal Das
1 ans sman &amp; 
Vedanand Lal, Kirtianand Lal, Brahmanand Lal s/o Lekhnath Lal 1 ans saman</t>
  </si>
  <si>
    <t>43 A</t>
  </si>
  <si>
    <t>7445,7446</t>
  </si>
  <si>
    <t>Chargachhiya</t>
  </si>
  <si>
    <t>110(7795,7796)</t>
  </si>
  <si>
    <t>0.14</t>
  </si>
  <si>
    <t>0.420</t>
  </si>
  <si>
    <t>Khajoor baari</t>
  </si>
  <si>
    <t>Vedanand Lal, Kirtianand Lal, Brahmanand Lal s/o Lekhnath Lal 1 ans saman &amp; Umanath Lal Das &amp;
Rewati Nath Lal s/o Rameshwar Lal Das 2 ans saman</t>
  </si>
  <si>
    <t>450/7445</t>
  </si>
  <si>
    <t>0.3150</t>
  </si>
  <si>
    <t>Bheeth Aam baag</t>
  </si>
  <si>
    <t>735 Margan Chart No 4 Nij</t>
  </si>
  <si>
    <t>497/707 ansh</t>
  </si>
  <si>
    <t>Dhanhar 1</t>
  </si>
  <si>
    <t>0.0875</t>
  </si>
  <si>
    <t>498/707 ansh</t>
  </si>
  <si>
    <t>0.0890</t>
  </si>
  <si>
    <t>Dhanhar 1 Sikmi</t>
  </si>
  <si>
    <t>New khesra number as per old khesra</t>
  </si>
  <si>
    <t>Receipt as per khesra number</t>
  </si>
  <si>
    <t>Batwara among all the brothers</t>
  </si>
  <si>
    <t>Sahmati patra draft proccess</t>
  </si>
  <si>
    <t>What is the next process after sahmati patra for raseed</t>
  </si>
  <si>
    <t>How to generate new raseed</t>
  </si>
  <si>
    <t>Does any land doc required? How to retrieve these docs?</t>
  </si>
  <si>
    <t>To arrange Maps of all the lands as per existing survey</t>
  </si>
  <si>
    <t>Naapi</t>
  </si>
  <si>
    <t>MAP-BASUDEOPUR  SHET NO. 2</t>
  </si>
  <si>
    <t>KHESRA NO</t>
  </si>
  <si>
    <t>S.NO</t>
  </si>
  <si>
    <t>KHATA NO</t>
  </si>
  <si>
    <t>RAKBA</t>
  </si>
  <si>
    <t>BIGGHA</t>
  </si>
  <si>
    <t>KATTHA</t>
  </si>
  <si>
    <t>DHOOR</t>
  </si>
  <si>
    <t>DHURKI</t>
  </si>
  <si>
    <t>MAUJA- BASUDEOPUR THANA NO ANCHAL LATE LEKHNATH LAL DAS LATE RAMESHWAR LAL DAS</t>
  </si>
  <si>
    <t>449 DARBHANGA DISTT DARBHANGA SON-VEDANAND LAL, KIRTIAND LAL AND BRAHMA NAND LAL</t>
  </si>
  <si>
    <t>New KHESRA NO</t>
  </si>
  <si>
    <t>*1423,1411,1457,1411,1458</t>
  </si>
  <si>
    <t>*1587 SE 1592</t>
  </si>
  <si>
    <t>WARD NO. 2 CHADAR 2 PLUS 3 ME 150-250</t>
  </si>
  <si>
    <t>*1572</t>
  </si>
  <si>
    <t>ALL NEW KHESRA NO.</t>
  </si>
  <si>
    <t>*1419,1423,1541,1544,1572,1583,1586,1588,83,105,112,114,126,205,842,843,844,868,771,180,450,735,497,498.</t>
  </si>
  <si>
    <t>NOT FINAL</t>
  </si>
  <si>
    <t>SHEET NO 2 WARD ME RAILWAY LINE KE DAKSHIN</t>
  </si>
  <si>
    <t>SHEET NO 2 WARD ME RAILWAY LINE KE UTTAR</t>
  </si>
  <si>
    <t>114</t>
  </si>
  <si>
    <t>871</t>
  </si>
  <si>
    <t>7789,7790</t>
  </si>
  <si>
    <t>7576</t>
  </si>
  <si>
    <t>868</t>
  </si>
  <si>
    <t>112</t>
  </si>
  <si>
    <t>7553,7574</t>
  </si>
  <si>
    <t>2014</t>
  </si>
  <si>
    <t>735</t>
  </si>
  <si>
    <t>7445</t>
  </si>
  <si>
    <t>KHAZOOR WALA BARI</t>
  </si>
  <si>
    <t>LAND NAME</t>
  </si>
  <si>
    <t>KHATA</t>
  </si>
  <si>
    <t>KHESRA</t>
  </si>
  <si>
    <t>REWATINATH LAL + LEKHNATH LAL</t>
  </si>
  <si>
    <t>SAMNE WALA BARI</t>
  </si>
  <si>
    <t>UMANATH LAL</t>
  </si>
  <si>
    <t>REWATINATH LAL</t>
  </si>
  <si>
    <t>AANAGAN</t>
  </si>
  <si>
    <t>SAJHI
[MANDIR WALA GHARARI]</t>
  </si>
  <si>
    <t>BEL/ENAAR WALA BARI</t>
  </si>
  <si>
    <t>IDENTIFIER</t>
  </si>
  <si>
    <t>Mandir wala baari</t>
  </si>
  <si>
    <t>Khata</t>
  </si>
  <si>
    <t>Lal Didi wala baari</t>
  </si>
  <si>
    <t>19 DHUR</t>
  </si>
  <si>
    <t>10 KATTHA 15 DHOOR</t>
  </si>
  <si>
    <t xml:space="preserve">TOTAL </t>
  </si>
  <si>
    <t>2 BIGHA [APPROX]</t>
  </si>
  <si>
    <t>5 KATTHA 8 PURNAK 3 BATTA 4</t>
  </si>
  <si>
    <t>Bauwe Lal Gharari</t>
  </si>
  <si>
    <t>Old Khata: 2014</t>
  </si>
  <si>
    <t>KHARAHORI [MURDAHIYA]</t>
  </si>
  <si>
    <t>Kajaz nhi mila hai</t>
  </si>
  <si>
    <t>Kewala hai</t>
  </si>
  <si>
    <t>2 Kewala chahiye</t>
  </si>
  <si>
    <t>Court me jama hai
Photo copy hai</t>
  </si>
  <si>
    <t>Khatiyan hai</t>
  </si>
  <si>
    <t>Bandobasti ka Khtiyan chahiye</t>
  </si>
  <si>
    <t>Khatiyan Raj Darbhanga hai</t>
  </si>
  <si>
    <t>Kewala chahiye</t>
  </si>
  <si>
    <t>Status of Document</t>
  </si>
  <si>
    <t>???</t>
  </si>
  <si>
    <t>Rasheed</t>
  </si>
  <si>
    <t>Jamabandi</t>
  </si>
  <si>
    <t xml:space="preserve"> </t>
  </si>
  <si>
    <t>Bigha</t>
  </si>
  <si>
    <t>Katha</t>
  </si>
  <si>
    <t>Dhur</t>
  </si>
  <si>
    <t>Acre</t>
  </si>
  <si>
    <t>Decimal</t>
  </si>
  <si>
    <t>Hectare</t>
  </si>
  <si>
    <t>Dhurki</t>
  </si>
  <si>
    <t>?</t>
  </si>
  <si>
    <t>NASI KE NICHA</t>
  </si>
  <si>
    <t>Khesra</t>
  </si>
  <si>
    <t>SIKMI [SOLD]</t>
  </si>
  <si>
    <t>GRAND TOTAL</t>
  </si>
  <si>
    <t>NET TOTAL</t>
  </si>
  <si>
    <t>0.3.54</t>
  </si>
  <si>
    <t>0.2.50</t>
  </si>
  <si>
    <t>0.54.80</t>
  </si>
  <si>
    <t>0.6.55</t>
  </si>
  <si>
    <t>0.5.73</t>
  </si>
  <si>
    <t>KIRTIANAND LAL</t>
  </si>
  <si>
    <t>VEDANAND LAL</t>
  </si>
  <si>
    <t>0.30.78</t>
  </si>
  <si>
    <t>0.3.38</t>
  </si>
  <si>
    <t>BRAHMANAND LAL</t>
  </si>
  <si>
    <t>Name</t>
  </si>
  <si>
    <t>0.1.60</t>
  </si>
  <si>
    <t>Uttar</t>
  </si>
  <si>
    <t>Dakshin</t>
  </si>
  <si>
    <t>Purab</t>
  </si>
  <si>
    <t>Pashchim</t>
  </si>
  <si>
    <t>Rewati Nath Lal</t>
  </si>
  <si>
    <t>Rasta</t>
  </si>
  <si>
    <t>Subodh Paswan</t>
  </si>
  <si>
    <t>Dabra</t>
  </si>
  <si>
    <t>Rakhi Das</t>
  </si>
  <si>
    <t>Parti</t>
  </si>
  <si>
    <t>Jeevanand Lal</t>
  </si>
  <si>
    <t>Radha Mahaseth</t>
  </si>
  <si>
    <t>Sushila Devi</t>
  </si>
  <si>
    <t>Khesra No: 7578</t>
  </si>
  <si>
    <t>Raju Purve</t>
  </si>
  <si>
    <t>Dhalayee</t>
  </si>
  <si>
    <t>Rewati Nath Lal Wo
Nij Rasta</t>
  </si>
  <si>
    <t>Raj Kishor Bhagat</t>
  </si>
  <si>
    <t>Rasta Dhalayee</t>
  </si>
  <si>
    <t>Niji Rasta 10 ft</t>
  </si>
  <si>
    <t>TALE MISHR GHARARI</t>
  </si>
  <si>
    <t>7656/7658</t>
  </si>
  <si>
    <t>Lekhnath Lal</t>
  </si>
  <si>
    <t>Murdahiya</t>
  </si>
  <si>
    <t>Umanath Lal</t>
  </si>
  <si>
    <t>Pachhwariya Kalam</t>
  </si>
  <si>
    <t>Singhari</t>
  </si>
  <si>
    <t>Pubariya Kalam</t>
  </si>
  <si>
    <t>Ek-amma</t>
  </si>
  <si>
    <t>Du-amma</t>
  </si>
  <si>
    <t>Rewatinath Lal</t>
  </si>
  <si>
    <t>Nashi Upper</t>
  </si>
  <si>
    <t>Nashi Neecha</t>
  </si>
  <si>
    <t>Type of document</t>
  </si>
  <si>
    <t>Khet</t>
  </si>
  <si>
    <t>Gachhi</t>
  </si>
  <si>
    <t>Kewala</t>
  </si>
  <si>
    <t>Khatiyani</t>
  </si>
  <si>
    <t>JAMABANDI</t>
  </si>
  <si>
    <t>NAME OF LAND</t>
  </si>
  <si>
    <t>Konhi</t>
  </si>
  <si>
    <t>2A67D</t>
  </si>
  <si>
    <t>62D</t>
  </si>
  <si>
    <t>ACRE</t>
  </si>
  <si>
    <t>27 or 35</t>
  </si>
  <si>
    <t>Vartman Chauhaddi</t>
  </si>
  <si>
    <t>NORTH</t>
  </si>
  <si>
    <t>EAST</t>
  </si>
  <si>
    <t>SOUTH</t>
  </si>
  <si>
    <t>WEST</t>
  </si>
  <si>
    <t>DECIMAL</t>
  </si>
  <si>
    <t>Nij</t>
  </si>
  <si>
    <t>Raj Darbhanga</t>
  </si>
  <si>
    <t>Darbra</t>
  </si>
  <si>
    <t>Bhagwan Das</t>
  </si>
  <si>
    <t>Kamla Devi</t>
  </si>
  <si>
    <t>Badri Purve</t>
  </si>
  <si>
    <t>Pradumn</t>
  </si>
  <si>
    <t>Central School</t>
  </si>
  <si>
    <t>Kabari wala</t>
  </si>
  <si>
    <t>Ram Lochan Mallick</t>
  </si>
  <si>
    <t>Badri Purve, Shiv ji</t>
  </si>
  <si>
    <t>Mohan Jha</t>
  </si>
  <si>
    <t>Railway</t>
  </si>
  <si>
    <t>Kirtianand</t>
  </si>
  <si>
    <t>Satish Das</t>
  </si>
  <si>
    <t>Badri Purve etc</t>
  </si>
  <si>
    <t>Darbhanga Public School</t>
  </si>
  <si>
    <t>4.36 Decimal</t>
  </si>
  <si>
    <t>1 Katha</t>
  </si>
  <si>
    <t>Aggrawal</t>
  </si>
  <si>
    <t>Du-amma [SIKMI]</t>
  </si>
  <si>
    <t xml:space="preserve">1007
</t>
  </si>
  <si>
    <t>1419 &amp; 1423</t>
  </si>
  <si>
    <t>Raiyyat</t>
  </si>
  <si>
    <t>Father's Name</t>
  </si>
  <si>
    <t>Year of Purchage</t>
  </si>
  <si>
    <t>Lagan Year</t>
  </si>
  <si>
    <t>Last Lagan (in Rs.)</t>
  </si>
  <si>
    <t>Last Rasheed No</t>
  </si>
  <si>
    <t>KHASRA [OLD]</t>
  </si>
  <si>
    <t>KHASRA [NEW]</t>
  </si>
  <si>
    <t>9 Dicimil</t>
  </si>
  <si>
    <t>2 Dicimil</t>
  </si>
  <si>
    <t>9 Dhur</t>
  </si>
  <si>
    <t>2 Katha 1 Dhur</t>
  </si>
  <si>
    <t>1 Dhur</t>
  </si>
  <si>
    <t>1189/1197</t>
  </si>
  <si>
    <t>1189 or 1197</t>
  </si>
  <si>
    <t>Visheshwar Lal Das Wo Rameshwar Lal Das</t>
  </si>
  <si>
    <t>Jalpa Dutt Lal Das</t>
  </si>
  <si>
    <t>27/811197
35/811198</t>
  </si>
  <si>
    <t>27/95.50
35/68.60</t>
  </si>
  <si>
    <t>Brij Bihari Lal Das</t>
  </si>
  <si>
    <t>Chuman Das</t>
  </si>
  <si>
    <t>Khedru Das</t>
  </si>
  <si>
    <t>Babu Nath Das</t>
  </si>
  <si>
    <t>Jagat Singh Das</t>
  </si>
  <si>
    <t>Kunjvati</t>
  </si>
  <si>
    <t>Godown</t>
  </si>
  <si>
    <t>Visho Singh</t>
  </si>
  <si>
    <t>Arvind</t>
  </si>
  <si>
    <t>Sanotosh
Sudhir Ram</t>
  </si>
  <si>
    <t>Ajay Lal Das</t>
  </si>
  <si>
    <t>7566</t>
  </si>
  <si>
    <t>Belagan</t>
  </si>
  <si>
    <t>95 sq ft</t>
  </si>
  <si>
    <t>DHUR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</si>
</sst>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_ ;\-#,##0.0000\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1" xfId="0" applyNumberFormat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quotePrefix="1" applyBorder="1"/>
    <xf numFmtId="49" fontId="0" fillId="4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5" fillId="0" borderId="1" xfId="0" applyFont="1" applyBorder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" xfId="0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4" fillId="0" borderId="1" xfId="0" applyFont="1" applyBorder="1"/>
    <xf numFmtId="0" fontId="6" fillId="0" borderId="0" xfId="0" applyFont="1"/>
    <xf numFmtId="0" fontId="0" fillId="5" borderId="1" xfId="0" applyFill="1" applyBorder="1" applyAlignment="1">
      <alignment horizontal="center" vertical="center"/>
    </xf>
    <xf numFmtId="49" fontId="0" fillId="0" borderId="0" xfId="0" applyNumberFormat="1"/>
    <xf numFmtId="0" fontId="0" fillId="0" borderId="0" xfId="0" quotePrefix="1"/>
    <xf numFmtId="49" fontId="1" fillId="0" borderId="0" xfId="0" applyNumberFormat="1" applyFont="1" applyAlignment="1">
      <alignment horizontal="left"/>
    </xf>
    <xf numFmtId="0" fontId="0" fillId="0" borderId="14" xfId="0" applyBorder="1" applyAlignment="1">
      <alignment horizontal="left" vertical="top" wrapText="1"/>
    </xf>
    <xf numFmtId="0" fontId="1" fillId="0" borderId="15" xfId="0" applyFont="1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4" xfId="0" applyFont="1" applyBorder="1"/>
    <xf numFmtId="0" fontId="0" fillId="0" borderId="18" xfId="0" applyBorder="1"/>
    <xf numFmtId="0" fontId="0" fillId="0" borderId="14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wrapText="1"/>
    </xf>
    <xf numFmtId="49" fontId="0" fillId="0" borderId="0" xfId="0" quotePrefix="1" applyNumberFormat="1"/>
    <xf numFmtId="0" fontId="0" fillId="6" borderId="0" xfId="0" quotePrefix="1" applyFill="1" applyAlignment="1">
      <alignment wrapText="1"/>
    </xf>
    <xf numFmtId="3" fontId="0" fillId="0" borderId="0" xfId="0" quotePrefix="1" applyNumberFormat="1"/>
    <xf numFmtId="0" fontId="1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left" vertical="center"/>
    </xf>
    <xf numFmtId="0" fontId="0" fillId="0" borderId="8" xfId="0" applyBorder="1" applyAlignment="1">
      <alignment horizontal="left"/>
    </xf>
    <xf numFmtId="49" fontId="0" fillId="0" borderId="1" xfId="0" applyNumberFormat="1" applyBorder="1" applyAlignment="1">
      <alignment horizontal="left" wrapText="1"/>
    </xf>
    <xf numFmtId="49" fontId="0" fillId="4" borderId="1" xfId="0" applyNumberFormat="1" applyFill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22" xfId="0" applyFont="1" applyBorder="1" applyAlignment="1">
      <alignment horizontal="center"/>
    </xf>
    <xf numFmtId="0" fontId="1" fillId="7" borderId="1" xfId="0" applyFont="1" applyFill="1" applyBorder="1" applyAlignment="1">
      <alignment horizontal="left"/>
    </xf>
    <xf numFmtId="0" fontId="0" fillId="0" borderId="1" xfId="0" applyBorder="1" applyAlignment="1">
      <alignment wrapText="1"/>
    </xf>
    <xf numFmtId="0" fontId="1" fillId="0" borderId="18" xfId="0" applyFont="1" applyFill="1" applyBorder="1" applyAlignment="1">
      <alignment horizontal="center"/>
    </xf>
    <xf numFmtId="0" fontId="7" fillId="0" borderId="1" xfId="0" applyFont="1" applyBorder="1" applyAlignment="1">
      <alignment horizontal="left" wrapText="1"/>
    </xf>
    <xf numFmtId="0" fontId="1" fillId="7" borderId="2" xfId="0" applyFont="1" applyFill="1" applyBorder="1" applyAlignment="1">
      <alignment horizontal="left" wrapText="1"/>
    </xf>
    <xf numFmtId="0" fontId="0" fillId="7" borderId="1" xfId="0" applyFill="1" applyBorder="1" applyAlignment="1">
      <alignment horizontal="left" wrapText="1"/>
    </xf>
    <xf numFmtId="0" fontId="0" fillId="7" borderId="1" xfId="0" applyFill="1" applyBorder="1" applyAlignment="1">
      <alignment wrapText="1"/>
    </xf>
    <xf numFmtId="0" fontId="0" fillId="7" borderId="1" xfId="0" applyFill="1" applyBorder="1" applyAlignment="1">
      <alignment horizontal="left" vertical="center" wrapText="1"/>
    </xf>
    <xf numFmtId="0" fontId="1" fillId="0" borderId="16" xfId="0" applyFont="1" applyBorder="1"/>
    <xf numFmtId="0" fontId="0" fillId="0" borderId="0" xfId="0" quotePrefix="1" applyBorder="1"/>
    <xf numFmtId="0" fontId="1" fillId="0" borderId="0" xfId="0" applyFont="1" applyBorder="1"/>
    <xf numFmtId="0" fontId="0" fillId="0" borderId="0" xfId="0" applyBorder="1"/>
    <xf numFmtId="3" fontId="0" fillId="0" borderId="0" xfId="0" quotePrefix="1" applyNumberFormat="1" applyBorder="1"/>
    <xf numFmtId="49" fontId="0" fillId="0" borderId="0" xfId="0" applyNumberFormat="1" applyBorder="1"/>
    <xf numFmtId="0" fontId="0" fillId="0" borderId="0" xfId="0" applyFont="1" applyBorder="1"/>
    <xf numFmtId="0" fontId="1" fillId="0" borderId="0" xfId="0" applyFont="1" applyFill="1" applyBorder="1"/>
    <xf numFmtId="0" fontId="0" fillId="7" borderId="0" xfId="0" applyFill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7" borderId="0" xfId="0" applyFill="1" applyBorder="1" applyAlignment="1">
      <alignment horizontal="left"/>
    </xf>
    <xf numFmtId="0" fontId="0" fillId="0" borderId="0" xfId="0" applyAlignment="1">
      <alignment vertical="center"/>
    </xf>
    <xf numFmtId="0" fontId="0" fillId="0" borderId="5" xfId="0" applyBorder="1" applyAlignment="1">
      <alignment wrapText="1"/>
    </xf>
    <xf numFmtId="0" fontId="0" fillId="0" borderId="0" xfId="0" applyAlignment="1">
      <alignment horizontal="center" vertical="center"/>
    </xf>
    <xf numFmtId="0" fontId="1" fillId="0" borderId="22" xfId="0" applyFont="1" applyFill="1" applyBorder="1"/>
    <xf numFmtId="0" fontId="0" fillId="0" borderId="0" xfId="0" quotePrefix="1" applyBorder="1" applyAlignment="1">
      <alignment horizontal="right"/>
    </xf>
    <xf numFmtId="2" fontId="0" fillId="0" borderId="0" xfId="0" quotePrefix="1" applyNumberFormat="1" applyBorder="1" applyAlignment="1">
      <alignment horizontal="right"/>
    </xf>
    <xf numFmtId="2" fontId="1" fillId="0" borderId="0" xfId="0" applyNumberFormat="1" applyFont="1" applyBorder="1" applyAlignment="1">
      <alignment horizontal="right"/>
    </xf>
    <xf numFmtId="0" fontId="0" fillId="0" borderId="18" xfId="0" applyFont="1" applyBorder="1"/>
    <xf numFmtId="0" fontId="0" fillId="0" borderId="18" xfId="0" applyFont="1" applyFill="1" applyBorder="1"/>
    <xf numFmtId="164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2" fontId="1" fillId="0" borderId="0" xfId="0" quotePrefix="1" applyNumberFormat="1" applyFont="1" applyBorder="1" applyAlignment="1">
      <alignment horizontal="right"/>
    </xf>
    <xf numFmtId="0" fontId="1" fillId="0" borderId="0" xfId="0" quotePrefix="1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Font="1"/>
    <xf numFmtId="3" fontId="0" fillId="0" borderId="0" xfId="0" quotePrefix="1" applyNumberFormat="1" applyBorder="1" applyAlignment="1">
      <alignment horizontal="right"/>
    </xf>
    <xf numFmtId="2" fontId="0" fillId="0" borderId="0" xfId="0" applyNumberFormat="1"/>
    <xf numFmtId="0" fontId="8" fillId="0" borderId="0" xfId="0" applyFont="1"/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9" fillId="0" borderId="1" xfId="0" applyFont="1" applyBorder="1" applyAlignment="1">
      <alignment wrapText="1"/>
    </xf>
    <xf numFmtId="0" fontId="8" fillId="7" borderId="1" xfId="0" applyFont="1" applyFill="1" applyBorder="1" applyAlignment="1">
      <alignment wrapText="1"/>
    </xf>
    <xf numFmtId="0" fontId="8" fillId="7" borderId="1" xfId="0" applyFont="1" applyFill="1" applyBorder="1"/>
    <xf numFmtId="0" fontId="8" fillId="7" borderId="1" xfId="0" applyFont="1" applyFill="1" applyBorder="1" applyAlignment="1">
      <alignment horizontal="right" wrapText="1"/>
    </xf>
    <xf numFmtId="0" fontId="8" fillId="6" borderId="1" xfId="0" applyFont="1" applyFill="1" applyBorder="1" applyAlignment="1">
      <alignment horizontal="right" wrapText="1"/>
    </xf>
    <xf numFmtId="0" fontId="8" fillId="0" borderId="1" xfId="0" applyFont="1" applyBorder="1" applyAlignment="1">
      <alignment horizontal="right" wrapText="1"/>
    </xf>
    <xf numFmtId="0" fontId="8" fillId="6" borderId="1" xfId="0" applyFont="1" applyFill="1" applyBorder="1" applyAlignment="1">
      <alignment wrapText="1"/>
    </xf>
    <xf numFmtId="0" fontId="9" fillId="0" borderId="1" xfId="0" applyFont="1" applyBorder="1"/>
    <xf numFmtId="0" fontId="8" fillId="7" borderId="0" xfId="0" applyFont="1" applyFill="1" applyBorder="1"/>
    <xf numFmtId="0" fontId="8" fillId="6" borderId="22" xfId="0" applyFont="1" applyFill="1" applyBorder="1" applyAlignment="1">
      <alignment wrapText="1"/>
    </xf>
    <xf numFmtId="0" fontId="8" fillId="6" borderId="18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14" xfId="0" applyBorder="1" applyAlignment="1">
      <alignment horizontal="left" vertical="top" wrapText="1"/>
    </xf>
    <xf numFmtId="0" fontId="0" fillId="0" borderId="0" xfId="0" applyBorder="1" applyAlignment="1">
      <alignment horizontal="left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75"/>
  <sheetViews>
    <sheetView tabSelected="1" workbookViewId="0">
      <pane xSplit="3" ySplit="3" topLeftCell="D55" activePane="bottomRight" state="frozen"/>
      <selection pane="topRight" activeCell="D1" sqref="D1"/>
      <selection pane="bottomLeft" activeCell="A3" sqref="A3"/>
      <selection pane="bottomRight" activeCell="J56" sqref="J56"/>
    </sheetView>
  </sheetViews>
  <sheetFormatPr defaultRowHeight="15" x14ac:dyDescent="0.25"/>
  <cols>
    <col min="1" max="1" width="9.140625" style="2"/>
    <col min="2" max="2" width="9.85546875" bestFit="1" customWidth="1"/>
    <col min="3" max="3" width="30" bestFit="1" customWidth="1"/>
    <col min="4" max="4" width="10.42578125" bestFit="1" customWidth="1"/>
    <col min="5" max="5" width="16.140625" customWidth="1"/>
    <col min="6" max="6" width="20" bestFit="1" customWidth="1"/>
    <col min="7" max="7" width="9" bestFit="1" customWidth="1"/>
    <col min="8" max="8" width="10" style="2" bestFit="1" customWidth="1"/>
    <col min="9" max="9" width="31.7109375" style="3" bestFit="1" customWidth="1"/>
    <col min="10" max="10" width="17" bestFit="1" customWidth="1"/>
    <col min="11" max="11" width="10" bestFit="1" customWidth="1"/>
    <col min="12" max="12" width="8.140625" bestFit="1" customWidth="1"/>
    <col min="13" max="13" width="15.5703125" bestFit="1" customWidth="1"/>
    <col min="14" max="14" width="5.140625" bestFit="1" customWidth="1"/>
    <col min="15" max="15" width="41.28515625" bestFit="1" customWidth="1"/>
    <col min="16" max="16" width="28.28515625" bestFit="1" customWidth="1"/>
  </cols>
  <sheetData>
    <row r="1" spans="1:16" ht="18.75" x14ac:dyDescent="0.3">
      <c r="G1" s="44" t="s">
        <v>61</v>
      </c>
    </row>
    <row r="2" spans="1:16" x14ac:dyDescent="0.25">
      <c r="D2" s="1" t="s">
        <v>301</v>
      </c>
      <c r="E2" s="1" t="s">
        <v>300</v>
      </c>
      <c r="G2" s="132" t="s">
        <v>11</v>
      </c>
      <c r="H2" s="132"/>
      <c r="I2" s="132"/>
      <c r="J2" s="133" t="s">
        <v>12</v>
      </c>
      <c r="K2" s="133"/>
      <c r="L2" s="133"/>
    </row>
    <row r="3" spans="1:16" x14ac:dyDescent="0.25">
      <c r="A3" s="5" t="s">
        <v>19</v>
      </c>
      <c r="B3" s="4" t="s">
        <v>18</v>
      </c>
      <c r="C3" s="4" t="s">
        <v>3</v>
      </c>
      <c r="D3" s="4"/>
      <c r="E3" s="4"/>
      <c r="F3" s="4" t="s">
        <v>9</v>
      </c>
      <c r="G3" s="4" t="s">
        <v>0</v>
      </c>
      <c r="H3" s="5" t="s">
        <v>1</v>
      </c>
      <c r="I3" s="34" t="s">
        <v>5</v>
      </c>
      <c r="J3" s="4" t="s">
        <v>0</v>
      </c>
      <c r="K3" s="4" t="s">
        <v>1</v>
      </c>
      <c r="L3" s="4" t="s">
        <v>5</v>
      </c>
      <c r="M3" s="4" t="s">
        <v>2</v>
      </c>
      <c r="N3" s="4" t="s">
        <v>4</v>
      </c>
      <c r="O3" s="4" t="s">
        <v>20</v>
      </c>
      <c r="P3" s="99" t="s">
        <v>298</v>
      </c>
    </row>
    <row r="4" spans="1:16" ht="15" customHeight="1" x14ac:dyDescent="0.25">
      <c r="A4" s="129">
        <v>1</v>
      </c>
      <c r="B4" s="131" t="s">
        <v>17</v>
      </c>
      <c r="C4" s="6" t="s">
        <v>6</v>
      </c>
      <c r="D4" s="6"/>
      <c r="E4" s="6"/>
      <c r="F4" s="6" t="s">
        <v>10</v>
      </c>
      <c r="G4" s="7">
        <v>1993</v>
      </c>
      <c r="H4" s="8" t="s">
        <v>7</v>
      </c>
      <c r="I4" s="35" t="s">
        <v>13</v>
      </c>
      <c r="J4" s="7">
        <v>43</v>
      </c>
      <c r="K4" s="7">
        <v>83</v>
      </c>
      <c r="L4" s="7"/>
      <c r="M4" s="6"/>
      <c r="N4" s="6"/>
      <c r="O4" s="135" t="s">
        <v>21</v>
      </c>
      <c r="P4" s="134" t="s">
        <v>290</v>
      </c>
    </row>
    <row r="5" spans="1:16" x14ac:dyDescent="0.25">
      <c r="A5" s="129"/>
      <c r="B5" s="131"/>
      <c r="C5" s="6" t="s">
        <v>6</v>
      </c>
      <c r="D5" s="6"/>
      <c r="E5" s="6"/>
      <c r="F5" s="6"/>
      <c r="G5" s="6"/>
      <c r="H5" s="9">
        <v>7529</v>
      </c>
      <c r="I5" s="35" t="s">
        <v>8</v>
      </c>
      <c r="J5" s="6"/>
      <c r="K5" s="6"/>
      <c r="L5" s="10"/>
      <c r="M5" s="6"/>
      <c r="N5" s="6"/>
      <c r="O5" s="135"/>
      <c r="P5" s="134"/>
    </row>
    <row r="6" spans="1:16" x14ac:dyDescent="0.25">
      <c r="A6" s="129"/>
      <c r="B6" s="131"/>
      <c r="C6" s="6" t="s">
        <v>6</v>
      </c>
      <c r="D6" s="6"/>
      <c r="E6" s="6"/>
      <c r="F6" s="6"/>
      <c r="G6" s="6"/>
      <c r="H6" s="9">
        <v>7530</v>
      </c>
      <c r="I6" s="35" t="s">
        <v>14</v>
      </c>
      <c r="J6" s="6"/>
      <c r="K6" s="6"/>
      <c r="L6" s="7"/>
      <c r="M6" s="6"/>
      <c r="N6" s="6"/>
      <c r="O6" s="135"/>
      <c r="P6" s="134"/>
    </row>
    <row r="7" spans="1:16" ht="30" x14ac:dyDescent="0.25">
      <c r="A7" s="129"/>
      <c r="B7" s="131"/>
      <c r="C7" s="6"/>
      <c r="D7" s="6"/>
      <c r="E7" s="6"/>
      <c r="F7" s="6"/>
      <c r="G7" s="6"/>
      <c r="H7" s="11"/>
      <c r="I7" s="36" t="s">
        <v>15</v>
      </c>
      <c r="J7" s="6"/>
      <c r="K7" s="6"/>
      <c r="L7" s="4" t="s">
        <v>16</v>
      </c>
      <c r="M7" s="6"/>
      <c r="N7" s="6"/>
      <c r="O7" s="135"/>
    </row>
    <row r="8" spans="1:16" x14ac:dyDescent="0.25">
      <c r="A8" s="11">
        <v>2</v>
      </c>
      <c r="B8" s="6" t="s">
        <v>17</v>
      </c>
      <c r="C8" s="6" t="s">
        <v>22</v>
      </c>
      <c r="D8" s="6"/>
      <c r="E8" s="6"/>
      <c r="F8" s="6" t="s">
        <v>25</v>
      </c>
      <c r="G8" s="7">
        <v>2034</v>
      </c>
      <c r="H8" s="9">
        <v>7792</v>
      </c>
      <c r="I8" s="12" t="s">
        <v>24</v>
      </c>
      <c r="J8" s="6" t="s">
        <v>26</v>
      </c>
      <c r="K8" s="13" t="s">
        <v>23</v>
      </c>
      <c r="L8" s="6"/>
      <c r="M8" s="6"/>
      <c r="N8" s="6"/>
      <c r="O8" s="6" t="s">
        <v>27</v>
      </c>
      <c r="P8" s="91" t="s">
        <v>291</v>
      </c>
    </row>
    <row r="9" spans="1:16" x14ac:dyDescent="0.25">
      <c r="A9" s="130">
        <v>3</v>
      </c>
      <c r="B9" s="131" t="s">
        <v>17</v>
      </c>
      <c r="C9" s="67" t="s">
        <v>33</v>
      </c>
      <c r="D9" s="11">
        <v>1867</v>
      </c>
      <c r="E9" s="67"/>
      <c r="F9" s="45" t="s">
        <v>98</v>
      </c>
      <c r="G9" s="70">
        <v>1867</v>
      </c>
      <c r="H9" s="14">
        <v>7576</v>
      </c>
      <c r="I9" s="12" t="s">
        <v>28</v>
      </c>
      <c r="J9" s="6"/>
      <c r="K9" s="6"/>
      <c r="L9" s="6"/>
      <c r="M9" s="6"/>
      <c r="N9" s="6"/>
      <c r="O9" s="6" t="s">
        <v>34</v>
      </c>
      <c r="P9" s="134" t="s">
        <v>292</v>
      </c>
    </row>
    <row r="10" spans="1:16" x14ac:dyDescent="0.25">
      <c r="A10" s="130"/>
      <c r="B10" s="131"/>
      <c r="C10" s="67" t="s">
        <v>33</v>
      </c>
      <c r="D10" s="67"/>
      <c r="E10" s="67"/>
      <c r="F10" s="45" t="s">
        <v>98</v>
      </c>
      <c r="G10" s="70">
        <v>1867</v>
      </c>
      <c r="H10" s="14">
        <v>7577</v>
      </c>
      <c r="I10" s="12" t="s">
        <v>8</v>
      </c>
      <c r="J10" s="6"/>
      <c r="K10" s="6"/>
      <c r="L10" s="6"/>
      <c r="M10" s="6"/>
      <c r="N10" s="6"/>
      <c r="O10" s="6"/>
      <c r="P10" s="134"/>
    </row>
    <row r="11" spans="1:16" ht="30" x14ac:dyDescent="0.25">
      <c r="A11" s="11"/>
      <c r="B11" s="6"/>
      <c r="C11" s="67" t="s">
        <v>33</v>
      </c>
      <c r="D11" s="67"/>
      <c r="E11" s="67"/>
      <c r="F11" s="45"/>
      <c r="G11" s="7"/>
      <c r="H11" s="9"/>
      <c r="I11" s="36" t="s">
        <v>29</v>
      </c>
      <c r="J11" s="6"/>
      <c r="K11" s="6"/>
      <c r="L11" s="6"/>
      <c r="M11" s="6"/>
      <c r="N11" s="6"/>
      <c r="O11" s="6"/>
      <c r="P11" s="134"/>
    </row>
    <row r="12" spans="1:16" x14ac:dyDescent="0.25">
      <c r="A12" s="11">
        <v>3</v>
      </c>
      <c r="B12" s="6"/>
      <c r="C12" s="67" t="s">
        <v>211</v>
      </c>
      <c r="D12" s="45">
        <v>1777</v>
      </c>
      <c r="E12" s="67"/>
      <c r="F12" s="12" t="s">
        <v>32</v>
      </c>
      <c r="G12" s="7">
        <v>1777</v>
      </c>
      <c r="H12" s="9">
        <v>7546</v>
      </c>
      <c r="I12" s="12" t="s">
        <v>30</v>
      </c>
      <c r="J12" s="6"/>
      <c r="K12" s="6"/>
      <c r="L12" s="6"/>
      <c r="M12" s="6"/>
      <c r="N12" s="6"/>
      <c r="O12" s="6" t="s">
        <v>101</v>
      </c>
      <c r="P12" s="134" t="s">
        <v>291</v>
      </c>
    </row>
    <row r="13" spans="1:16" x14ac:dyDescent="0.25">
      <c r="A13" s="11">
        <v>3</v>
      </c>
      <c r="B13" s="6"/>
      <c r="C13" s="67" t="s">
        <v>211</v>
      </c>
      <c r="D13" s="45">
        <v>1839</v>
      </c>
      <c r="E13" s="67"/>
      <c r="F13" s="12" t="s">
        <v>32</v>
      </c>
      <c r="G13" s="7">
        <v>1839</v>
      </c>
      <c r="H13" s="9">
        <v>7545</v>
      </c>
      <c r="I13" s="12" t="s">
        <v>13</v>
      </c>
      <c r="J13" s="6"/>
      <c r="K13" s="6"/>
      <c r="L13" s="6"/>
      <c r="M13" s="6"/>
      <c r="N13" s="6"/>
      <c r="O13" s="6"/>
      <c r="P13" s="134"/>
    </row>
    <row r="14" spans="1:16" ht="30" x14ac:dyDescent="0.25">
      <c r="A14" s="11">
        <v>3</v>
      </c>
      <c r="B14" s="6"/>
      <c r="C14" s="45"/>
      <c r="D14" s="45"/>
      <c r="E14" s="45"/>
      <c r="F14" s="11"/>
      <c r="G14" s="6"/>
      <c r="H14" s="11"/>
      <c r="I14" s="36" t="s">
        <v>31</v>
      </c>
      <c r="J14" s="6"/>
      <c r="K14" s="6"/>
      <c r="L14" s="6"/>
      <c r="M14" s="6"/>
      <c r="N14" s="6"/>
      <c r="O14" s="6"/>
    </row>
    <row r="15" spans="1:16" x14ac:dyDescent="0.25">
      <c r="A15" s="11">
        <v>3</v>
      </c>
      <c r="B15" s="6"/>
      <c r="C15" s="6"/>
      <c r="D15" s="6"/>
      <c r="E15" s="6"/>
      <c r="F15" s="6"/>
      <c r="G15" s="6"/>
      <c r="H15" s="11"/>
      <c r="I15" s="12"/>
      <c r="J15" s="6"/>
      <c r="K15" s="6"/>
      <c r="L15" s="6"/>
      <c r="M15" s="6"/>
      <c r="N15" s="6"/>
      <c r="O15" s="6"/>
    </row>
    <row r="16" spans="1:16" x14ac:dyDescent="0.25">
      <c r="A16" s="11">
        <v>4</v>
      </c>
      <c r="B16" s="6"/>
      <c r="C16" s="6" t="s">
        <v>56</v>
      </c>
      <c r="D16" s="11">
        <v>1867</v>
      </c>
      <c r="E16" s="6"/>
      <c r="F16" s="6" t="s">
        <v>35</v>
      </c>
      <c r="G16" s="7">
        <v>1886</v>
      </c>
      <c r="H16" s="9" t="s">
        <v>432</v>
      </c>
      <c r="I16" s="35" t="s">
        <v>8</v>
      </c>
      <c r="J16" s="6"/>
      <c r="K16" s="6"/>
      <c r="L16" s="6"/>
      <c r="M16" s="6"/>
      <c r="N16" s="6"/>
      <c r="O16" s="6" t="s">
        <v>40</v>
      </c>
      <c r="P16" s="134" t="s">
        <v>292</v>
      </c>
    </row>
    <row r="17" spans="1:16" x14ac:dyDescent="0.25">
      <c r="A17" s="11">
        <v>4</v>
      </c>
      <c r="B17" s="6"/>
      <c r="C17" s="6" t="s">
        <v>56</v>
      </c>
      <c r="D17" s="6"/>
      <c r="E17" s="6"/>
      <c r="F17" s="6" t="s">
        <v>35</v>
      </c>
      <c r="G17" s="7">
        <v>1886</v>
      </c>
      <c r="H17" s="9">
        <v>7572</v>
      </c>
      <c r="I17" s="12" t="s">
        <v>24</v>
      </c>
      <c r="J17" s="6"/>
      <c r="K17" s="6"/>
      <c r="L17" s="6"/>
      <c r="M17" s="6"/>
      <c r="N17" s="6"/>
      <c r="O17" s="6" t="s">
        <v>42</v>
      </c>
      <c r="P17" s="134"/>
    </row>
    <row r="18" spans="1:16" x14ac:dyDescent="0.25">
      <c r="A18" s="11">
        <v>4</v>
      </c>
      <c r="B18" s="6"/>
      <c r="C18" s="6" t="s">
        <v>56</v>
      </c>
      <c r="D18" s="6"/>
      <c r="E18" s="6"/>
      <c r="F18" s="6" t="s">
        <v>35</v>
      </c>
      <c r="G18" s="7">
        <v>1886</v>
      </c>
      <c r="H18" s="9" t="s">
        <v>38</v>
      </c>
      <c r="I18" s="12" t="s">
        <v>36</v>
      </c>
      <c r="J18" s="6"/>
      <c r="K18" s="6"/>
      <c r="L18" s="6"/>
      <c r="M18" s="6"/>
      <c r="N18" s="6"/>
      <c r="O18" s="6" t="s">
        <v>41</v>
      </c>
      <c r="P18" s="134"/>
    </row>
    <row r="19" spans="1:16" x14ac:dyDescent="0.25">
      <c r="A19" s="11">
        <v>4</v>
      </c>
      <c r="B19" s="6"/>
      <c r="C19" s="6" t="s">
        <v>56</v>
      </c>
      <c r="D19" s="6"/>
      <c r="E19" s="6"/>
      <c r="F19" s="6" t="s">
        <v>35</v>
      </c>
      <c r="G19" s="7">
        <v>1886</v>
      </c>
      <c r="H19" s="9">
        <v>7586</v>
      </c>
      <c r="I19" s="12" t="s">
        <v>37</v>
      </c>
      <c r="J19" s="6"/>
      <c r="K19" s="6"/>
      <c r="L19" s="6"/>
      <c r="M19" s="6"/>
      <c r="N19" s="6"/>
      <c r="O19" s="6"/>
      <c r="P19" s="134"/>
    </row>
    <row r="20" spans="1:16" x14ac:dyDescent="0.25">
      <c r="A20" s="11">
        <v>4</v>
      </c>
      <c r="B20" s="6"/>
      <c r="C20" s="6" t="s">
        <v>56</v>
      </c>
      <c r="D20" s="6"/>
      <c r="E20" s="6"/>
      <c r="F20" s="6" t="s">
        <v>35</v>
      </c>
      <c r="G20" s="7">
        <v>1886</v>
      </c>
      <c r="H20" s="9">
        <v>7574</v>
      </c>
      <c r="I20" s="12" t="s">
        <v>24</v>
      </c>
      <c r="J20" s="6"/>
      <c r="K20" s="6"/>
      <c r="L20" s="6"/>
      <c r="M20" s="6"/>
      <c r="N20" s="6"/>
      <c r="O20" s="6"/>
      <c r="P20" s="134"/>
    </row>
    <row r="21" spans="1:16" ht="30" x14ac:dyDescent="0.25">
      <c r="A21" s="11">
        <v>4</v>
      </c>
      <c r="B21" s="6"/>
      <c r="C21" s="6"/>
      <c r="D21" s="6"/>
      <c r="E21" s="6"/>
      <c r="F21" s="6"/>
      <c r="G21" s="6"/>
      <c r="H21" s="11"/>
      <c r="I21" s="36" t="s">
        <v>39</v>
      </c>
      <c r="J21" s="6"/>
      <c r="K21" s="6"/>
      <c r="L21" s="6"/>
      <c r="M21" s="6"/>
      <c r="N21" s="6"/>
      <c r="O21" s="6"/>
    </row>
    <row r="22" spans="1:16" x14ac:dyDescent="0.25">
      <c r="A22" s="11"/>
      <c r="B22" s="6"/>
      <c r="C22" s="6"/>
      <c r="D22" s="6"/>
      <c r="E22" s="6"/>
      <c r="F22" s="6"/>
      <c r="G22" s="6"/>
      <c r="H22" s="11"/>
      <c r="I22" s="12"/>
      <c r="J22" s="6"/>
      <c r="K22" s="6"/>
      <c r="L22" s="6"/>
      <c r="M22" s="6"/>
      <c r="N22" s="6"/>
      <c r="O22" s="6"/>
    </row>
    <row r="23" spans="1:16" x14ac:dyDescent="0.25">
      <c r="A23" s="11">
        <v>5</v>
      </c>
      <c r="B23" s="6"/>
      <c r="C23" s="6" t="s">
        <v>45</v>
      </c>
      <c r="D23" s="11">
        <v>1773</v>
      </c>
      <c r="E23" s="6"/>
      <c r="F23" s="6"/>
      <c r="G23" s="6">
        <v>1773</v>
      </c>
      <c r="H23" s="11">
        <v>7795</v>
      </c>
      <c r="I23" s="12" t="s">
        <v>43</v>
      </c>
      <c r="J23" s="6"/>
      <c r="K23" s="6"/>
      <c r="L23" s="6"/>
      <c r="M23" s="6"/>
      <c r="N23" s="6"/>
      <c r="O23" s="6" t="s">
        <v>46</v>
      </c>
      <c r="P23" s="138" t="s">
        <v>293</v>
      </c>
    </row>
    <row r="24" spans="1:16" x14ac:dyDescent="0.25">
      <c r="A24" s="11">
        <v>5</v>
      </c>
      <c r="B24" s="6"/>
      <c r="C24" s="6" t="s">
        <v>45</v>
      </c>
      <c r="D24" s="11">
        <v>1773</v>
      </c>
      <c r="E24" s="6"/>
      <c r="F24" s="6"/>
      <c r="G24" s="6">
        <v>1773</v>
      </c>
      <c r="H24" s="11">
        <v>7796</v>
      </c>
      <c r="I24" s="12" t="s">
        <v>44</v>
      </c>
      <c r="J24" s="6"/>
      <c r="K24" s="6"/>
      <c r="L24" s="6"/>
      <c r="M24" s="6"/>
      <c r="N24" s="6"/>
      <c r="O24" s="6"/>
      <c r="P24" s="134"/>
    </row>
    <row r="25" spans="1:16" x14ac:dyDescent="0.25">
      <c r="A25" s="11">
        <v>5</v>
      </c>
      <c r="B25" s="6"/>
      <c r="C25" s="6" t="s">
        <v>45</v>
      </c>
      <c r="D25" s="6"/>
      <c r="E25" s="6"/>
      <c r="F25" s="6"/>
      <c r="G25" s="6"/>
      <c r="H25" s="11"/>
      <c r="I25" s="34" t="s">
        <v>50</v>
      </c>
      <c r="J25" s="6"/>
      <c r="K25" s="6"/>
      <c r="L25" s="6"/>
      <c r="M25" s="6"/>
      <c r="N25" s="6"/>
      <c r="O25" s="6"/>
      <c r="P25" s="134"/>
    </row>
    <row r="26" spans="1:16" x14ac:dyDescent="0.25">
      <c r="A26" s="11"/>
      <c r="B26" s="6"/>
      <c r="C26" s="6"/>
      <c r="D26" s="6"/>
      <c r="E26" s="6"/>
      <c r="F26" s="6"/>
      <c r="G26" s="6"/>
      <c r="H26" s="11"/>
      <c r="I26" s="34"/>
      <c r="J26" s="6"/>
      <c r="K26" s="6"/>
      <c r="L26" s="6"/>
      <c r="M26" s="6"/>
      <c r="N26" s="6"/>
      <c r="O26" s="6"/>
    </row>
    <row r="27" spans="1:16" x14ac:dyDescent="0.25">
      <c r="A27" s="11">
        <v>6</v>
      </c>
      <c r="B27" s="6"/>
      <c r="C27" s="6" t="s">
        <v>48</v>
      </c>
      <c r="D27" s="6"/>
      <c r="E27" s="6"/>
      <c r="F27" s="6"/>
      <c r="G27" s="6">
        <v>1892</v>
      </c>
      <c r="H27" s="11">
        <v>1007</v>
      </c>
      <c r="I27" s="34" t="s">
        <v>47</v>
      </c>
      <c r="J27" s="6"/>
      <c r="K27" s="6"/>
      <c r="L27" s="6"/>
      <c r="M27" s="6"/>
      <c r="N27" s="6"/>
      <c r="O27" s="6" t="s">
        <v>49</v>
      </c>
      <c r="P27" s="91" t="s">
        <v>294</v>
      </c>
    </row>
    <row r="28" spans="1:16" x14ac:dyDescent="0.25">
      <c r="A28" s="11"/>
      <c r="B28" s="6"/>
      <c r="C28" s="6"/>
      <c r="D28" s="6"/>
      <c r="E28" s="6"/>
      <c r="F28" s="6"/>
      <c r="G28" s="6"/>
      <c r="H28" s="11"/>
      <c r="I28" s="12"/>
      <c r="J28" s="6"/>
      <c r="K28" s="6"/>
      <c r="L28" s="6"/>
      <c r="M28" s="6"/>
      <c r="N28" s="6"/>
      <c r="O28" s="6"/>
    </row>
    <row r="29" spans="1:16" x14ac:dyDescent="0.25">
      <c r="A29" s="11">
        <v>7</v>
      </c>
      <c r="B29" s="6"/>
      <c r="C29" s="6" t="s">
        <v>55</v>
      </c>
      <c r="D29" s="6"/>
      <c r="E29" s="6"/>
      <c r="F29" s="6"/>
      <c r="G29" s="6">
        <v>1796</v>
      </c>
      <c r="H29" s="11">
        <v>7637</v>
      </c>
      <c r="I29" s="12" t="s">
        <v>51</v>
      </c>
      <c r="J29" s="6" t="s">
        <v>433</v>
      </c>
      <c r="K29" s="6"/>
      <c r="L29" s="6"/>
      <c r="M29" s="6"/>
      <c r="N29" s="6"/>
      <c r="O29" s="6" t="s">
        <v>54</v>
      </c>
      <c r="P29" s="134" t="s">
        <v>295</v>
      </c>
    </row>
    <row r="30" spans="1:16" x14ac:dyDescent="0.25">
      <c r="A30" s="11">
        <v>7</v>
      </c>
      <c r="B30" s="6"/>
      <c r="C30" s="6" t="s">
        <v>55</v>
      </c>
      <c r="D30" s="6"/>
      <c r="E30" s="6"/>
      <c r="F30" s="6"/>
      <c r="G30" s="6">
        <v>1796</v>
      </c>
      <c r="H30" s="11">
        <v>7641</v>
      </c>
      <c r="I30" s="12" t="s">
        <v>36</v>
      </c>
      <c r="J30" s="6" t="s">
        <v>433</v>
      </c>
      <c r="K30" s="6"/>
      <c r="L30" s="6"/>
      <c r="M30" s="6"/>
      <c r="N30" s="6"/>
      <c r="O30" s="6"/>
      <c r="P30" s="134"/>
    </row>
    <row r="31" spans="1:16" x14ac:dyDescent="0.25">
      <c r="A31" s="11">
        <v>7</v>
      </c>
      <c r="B31" s="6"/>
      <c r="C31" s="6" t="s">
        <v>55</v>
      </c>
      <c r="D31" s="6"/>
      <c r="E31" s="6"/>
      <c r="F31" s="6"/>
      <c r="G31" s="6">
        <v>1796</v>
      </c>
      <c r="H31" s="66">
        <v>7642</v>
      </c>
      <c r="I31" s="65" t="s">
        <v>52</v>
      </c>
      <c r="J31" s="6"/>
      <c r="K31" s="6"/>
      <c r="L31" s="6"/>
      <c r="M31" s="6"/>
      <c r="N31" s="6"/>
      <c r="O31" s="6" t="s">
        <v>99</v>
      </c>
      <c r="P31" s="134"/>
    </row>
    <row r="32" spans="1:16" x14ac:dyDescent="0.25">
      <c r="A32" s="11">
        <v>7</v>
      </c>
      <c r="B32" s="6"/>
      <c r="C32" s="6" t="s">
        <v>55</v>
      </c>
      <c r="D32" s="6"/>
      <c r="E32" s="6"/>
      <c r="F32" s="6"/>
      <c r="G32" s="6">
        <v>1872</v>
      </c>
      <c r="H32" s="11">
        <v>7643</v>
      </c>
      <c r="I32" s="12" t="s">
        <v>37</v>
      </c>
      <c r="J32" s="6"/>
      <c r="K32" s="6"/>
      <c r="L32" s="6"/>
      <c r="M32" s="6"/>
      <c r="N32" s="6"/>
      <c r="O32" s="6"/>
      <c r="P32" s="134"/>
    </row>
    <row r="33" spans="1:16" x14ac:dyDescent="0.25">
      <c r="A33" s="11">
        <v>7</v>
      </c>
      <c r="B33" s="6"/>
      <c r="C33" s="6" t="s">
        <v>55</v>
      </c>
      <c r="D33" s="6"/>
      <c r="E33" s="6"/>
      <c r="F33" s="6"/>
      <c r="G33" s="6">
        <v>1872</v>
      </c>
      <c r="H33" s="11">
        <v>7644</v>
      </c>
      <c r="I33" s="12" t="s">
        <v>43</v>
      </c>
      <c r="J33" s="6"/>
      <c r="K33" s="6"/>
      <c r="L33" s="6"/>
      <c r="M33" s="6"/>
      <c r="N33" s="6"/>
      <c r="O33" s="6"/>
      <c r="P33" s="134"/>
    </row>
    <row r="34" spans="1:16" x14ac:dyDescent="0.25">
      <c r="A34" s="11">
        <v>7</v>
      </c>
      <c r="B34" s="6"/>
      <c r="C34" s="6"/>
      <c r="D34" s="6"/>
      <c r="E34" s="6"/>
      <c r="F34" s="6"/>
      <c r="G34" s="6"/>
      <c r="H34" s="11"/>
      <c r="I34" s="34" t="s">
        <v>53</v>
      </c>
      <c r="J34" s="6"/>
      <c r="K34" s="6"/>
      <c r="L34" s="6"/>
      <c r="M34" s="6"/>
      <c r="N34" s="6"/>
      <c r="O34" s="6"/>
    </row>
    <row r="35" spans="1:16" x14ac:dyDescent="0.25">
      <c r="A35" s="11"/>
      <c r="B35" s="6"/>
      <c r="C35" s="6"/>
      <c r="D35" s="6"/>
      <c r="E35" s="6"/>
      <c r="F35" s="6"/>
      <c r="G35" s="6"/>
      <c r="H35" s="11"/>
      <c r="I35" s="34"/>
      <c r="J35" s="6"/>
      <c r="K35" s="6"/>
      <c r="L35" s="6"/>
      <c r="M35" s="6"/>
      <c r="N35" s="6"/>
      <c r="O35" s="6"/>
    </row>
    <row r="36" spans="1:16" x14ac:dyDescent="0.25">
      <c r="A36" s="11">
        <v>8</v>
      </c>
      <c r="B36" s="6"/>
      <c r="C36" s="6" t="s">
        <v>59</v>
      </c>
      <c r="D36" s="6"/>
      <c r="E36" s="6"/>
      <c r="F36" s="6"/>
      <c r="G36" s="6">
        <v>1887</v>
      </c>
      <c r="H36" s="11">
        <v>7789</v>
      </c>
      <c r="I36" s="12" t="s">
        <v>57</v>
      </c>
      <c r="J36" s="6" t="s">
        <v>433</v>
      </c>
      <c r="K36" s="6"/>
      <c r="L36" s="6"/>
      <c r="M36" s="6"/>
      <c r="N36" s="6"/>
      <c r="O36" s="6" t="s">
        <v>60</v>
      </c>
      <c r="P36" s="134" t="s">
        <v>295</v>
      </c>
    </row>
    <row r="37" spans="1:16" x14ac:dyDescent="0.25">
      <c r="A37" s="11">
        <v>8</v>
      </c>
      <c r="B37" s="6"/>
      <c r="C37" s="6" t="s">
        <v>59</v>
      </c>
      <c r="D37" s="6"/>
      <c r="E37" s="6"/>
      <c r="F37" s="6"/>
      <c r="G37" s="6">
        <v>1887</v>
      </c>
      <c r="H37" s="11">
        <v>7790</v>
      </c>
      <c r="I37" s="12" t="s">
        <v>8</v>
      </c>
      <c r="J37" s="6" t="s">
        <v>433</v>
      </c>
      <c r="K37" s="6"/>
      <c r="L37" s="6"/>
      <c r="M37" s="6"/>
      <c r="N37" s="6"/>
      <c r="O37" s="6"/>
      <c r="P37" s="134"/>
    </row>
    <row r="38" spans="1:16" x14ac:dyDescent="0.25">
      <c r="A38" s="11"/>
      <c r="B38" s="6"/>
      <c r="C38" s="6"/>
      <c r="D38" s="6"/>
      <c r="E38" s="6"/>
      <c r="F38" s="6"/>
      <c r="G38" s="6"/>
      <c r="H38" s="11"/>
      <c r="I38" s="64" t="s">
        <v>58</v>
      </c>
      <c r="J38" s="6"/>
      <c r="K38" s="6"/>
      <c r="L38" s="6"/>
      <c r="M38" s="6"/>
      <c r="N38" s="6"/>
      <c r="O38" s="6"/>
    </row>
    <row r="39" spans="1:16" x14ac:dyDescent="0.25">
      <c r="A39" s="11"/>
      <c r="B39" s="6"/>
      <c r="C39" s="6"/>
      <c r="D39" s="6"/>
      <c r="E39" s="6"/>
      <c r="F39" s="6"/>
      <c r="G39" s="6"/>
      <c r="H39" s="11"/>
      <c r="I39" s="12"/>
      <c r="J39" s="6"/>
      <c r="K39" s="6"/>
      <c r="L39" s="6"/>
      <c r="M39" s="6"/>
      <c r="N39" s="6"/>
      <c r="O39" s="6"/>
    </row>
    <row r="40" spans="1:16" ht="15.75" x14ac:dyDescent="0.25">
      <c r="A40" s="11"/>
      <c r="B40" s="6"/>
      <c r="C40" s="6"/>
      <c r="D40" s="6"/>
      <c r="E40" s="6"/>
      <c r="F40" s="6"/>
      <c r="G40" s="43" t="s">
        <v>62</v>
      </c>
      <c r="H40" s="27"/>
      <c r="I40" s="37"/>
      <c r="J40" s="29"/>
      <c r="K40" s="29"/>
      <c r="L40" s="29"/>
      <c r="M40" s="29"/>
      <c r="N40" s="29"/>
      <c r="O40" s="29"/>
      <c r="P40" s="28"/>
    </row>
    <row r="41" spans="1:16" x14ac:dyDescent="0.25">
      <c r="A41" s="11">
        <v>1</v>
      </c>
      <c r="B41" s="6"/>
      <c r="C41" s="6" t="s">
        <v>100</v>
      </c>
      <c r="D41" s="6"/>
      <c r="E41" s="6"/>
      <c r="F41" s="6"/>
      <c r="G41" s="6">
        <v>2014</v>
      </c>
      <c r="H41" s="11">
        <v>735</v>
      </c>
      <c r="I41" s="12" t="s">
        <v>63</v>
      </c>
      <c r="J41" s="6"/>
      <c r="K41" s="6"/>
      <c r="L41" s="6"/>
      <c r="M41" s="6"/>
      <c r="N41" s="6"/>
      <c r="O41" s="6"/>
      <c r="P41" t="s">
        <v>296</v>
      </c>
    </row>
    <row r="42" spans="1:16" x14ac:dyDescent="0.25">
      <c r="A42" s="11">
        <v>1</v>
      </c>
      <c r="B42" s="6"/>
      <c r="C42" s="6" t="s">
        <v>100</v>
      </c>
      <c r="D42" s="6"/>
      <c r="E42" s="6"/>
      <c r="F42" s="6"/>
      <c r="G42" s="6">
        <v>2014</v>
      </c>
      <c r="H42" s="11">
        <v>7445</v>
      </c>
      <c r="I42" s="12" t="s">
        <v>64</v>
      </c>
      <c r="J42" s="6"/>
      <c r="K42" s="6"/>
      <c r="L42" s="6"/>
      <c r="M42" s="6"/>
      <c r="N42" s="6"/>
      <c r="O42" s="6"/>
      <c r="P42" t="s">
        <v>296</v>
      </c>
    </row>
    <row r="43" spans="1:16" x14ac:dyDescent="0.25">
      <c r="A43" s="11"/>
      <c r="B43" s="6"/>
      <c r="C43" s="6"/>
      <c r="D43" s="6"/>
      <c r="E43" s="6"/>
      <c r="F43" s="6"/>
      <c r="G43" s="6"/>
      <c r="H43" s="11"/>
      <c r="I43" s="34" t="s">
        <v>65</v>
      </c>
      <c r="J43" s="6"/>
      <c r="K43" s="6"/>
      <c r="L43" s="6"/>
      <c r="M43" s="6"/>
      <c r="N43" s="6"/>
      <c r="O43" s="6"/>
    </row>
    <row r="44" spans="1:16" x14ac:dyDescent="0.25">
      <c r="A44" s="11"/>
      <c r="B44" s="6"/>
      <c r="C44" s="6"/>
      <c r="D44" s="6"/>
      <c r="E44" s="6"/>
      <c r="F44" s="6"/>
      <c r="G44" s="6"/>
      <c r="H44" s="11"/>
      <c r="I44" s="12"/>
      <c r="J44" s="6"/>
      <c r="K44" s="6"/>
      <c r="L44" s="6"/>
      <c r="M44" s="6"/>
      <c r="N44" s="6"/>
      <c r="O44" s="6"/>
    </row>
    <row r="45" spans="1:16" x14ac:dyDescent="0.25">
      <c r="A45" s="11">
        <v>2</v>
      </c>
      <c r="B45" s="6"/>
      <c r="C45" s="6" t="s">
        <v>67</v>
      </c>
      <c r="D45" s="6"/>
      <c r="E45" s="6"/>
      <c r="F45" s="6"/>
      <c r="G45" s="6">
        <v>2014</v>
      </c>
      <c r="H45" s="11">
        <v>792</v>
      </c>
      <c r="I45" s="12" t="s">
        <v>66</v>
      </c>
      <c r="J45" s="6"/>
      <c r="K45" s="6"/>
      <c r="L45" s="6"/>
      <c r="M45" s="6"/>
      <c r="N45" s="6"/>
      <c r="O45" s="6"/>
      <c r="P45" t="s">
        <v>296</v>
      </c>
    </row>
    <row r="46" spans="1:16" x14ac:dyDescent="0.25">
      <c r="A46" s="11">
        <v>3</v>
      </c>
      <c r="B46" s="6"/>
      <c r="C46" s="6" t="s">
        <v>69</v>
      </c>
      <c r="D46" s="6"/>
      <c r="E46" s="6"/>
      <c r="F46" s="6"/>
      <c r="G46" s="6">
        <v>2014</v>
      </c>
      <c r="H46" s="11">
        <v>1179</v>
      </c>
      <c r="I46" s="12" t="s">
        <v>68</v>
      </c>
      <c r="J46" s="6"/>
      <c r="K46" s="6"/>
      <c r="L46" s="6"/>
      <c r="M46" s="6"/>
      <c r="N46" s="6"/>
      <c r="O46" s="6"/>
      <c r="P46" t="s">
        <v>296</v>
      </c>
    </row>
    <row r="47" spans="1:16" x14ac:dyDescent="0.25">
      <c r="A47" s="11">
        <v>4</v>
      </c>
      <c r="B47" s="6"/>
      <c r="C47" s="6" t="s">
        <v>71</v>
      </c>
      <c r="D47" s="6"/>
      <c r="E47" s="6"/>
      <c r="F47" s="6"/>
      <c r="G47" s="6">
        <v>2014</v>
      </c>
      <c r="H47" s="11">
        <v>790</v>
      </c>
      <c r="I47" s="12" t="s">
        <v>70</v>
      </c>
      <c r="J47" s="6"/>
      <c r="K47" s="6"/>
      <c r="L47" s="6"/>
      <c r="M47" s="6"/>
      <c r="N47" s="6"/>
      <c r="O47" s="6"/>
      <c r="P47" t="s">
        <v>296</v>
      </c>
    </row>
    <row r="48" spans="1:16" ht="15.75" thickBot="1" x14ac:dyDescent="0.3">
      <c r="A48" s="15">
        <v>5</v>
      </c>
      <c r="B48" s="16"/>
      <c r="C48" s="16" t="s">
        <v>73</v>
      </c>
      <c r="D48" s="16"/>
      <c r="E48" s="16"/>
      <c r="F48" s="16"/>
      <c r="G48" s="16">
        <v>2014</v>
      </c>
      <c r="H48" s="15">
        <v>707</v>
      </c>
      <c r="I48" s="38" t="s">
        <v>72</v>
      </c>
      <c r="J48" s="16"/>
      <c r="K48" s="16"/>
      <c r="L48" s="16"/>
      <c r="M48" s="16"/>
      <c r="N48" s="16"/>
      <c r="O48" s="16"/>
      <c r="P48" t="s">
        <v>296</v>
      </c>
    </row>
    <row r="49" spans="1:16" ht="30" x14ac:dyDescent="0.25">
      <c r="A49" s="19">
        <v>6</v>
      </c>
      <c r="B49" s="20"/>
      <c r="C49" s="20" t="s">
        <v>75</v>
      </c>
      <c r="D49" s="20"/>
      <c r="E49" s="20"/>
      <c r="F49" s="20"/>
      <c r="G49" s="20">
        <v>2014</v>
      </c>
      <c r="H49" s="21">
        <v>1246</v>
      </c>
      <c r="I49" s="39" t="s">
        <v>74</v>
      </c>
      <c r="J49" s="20"/>
      <c r="K49" s="20"/>
      <c r="L49" s="20"/>
      <c r="M49" s="20"/>
      <c r="N49" s="20"/>
      <c r="O49" s="97" t="s">
        <v>80</v>
      </c>
      <c r="P49" t="s">
        <v>296</v>
      </c>
    </row>
    <row r="50" spans="1:16" x14ac:dyDescent="0.25">
      <c r="A50" s="22">
        <v>7</v>
      </c>
      <c r="B50" s="6"/>
      <c r="C50" s="6" t="s">
        <v>75</v>
      </c>
      <c r="D50" s="6"/>
      <c r="E50" s="6"/>
      <c r="F50" s="6"/>
      <c r="G50" s="6">
        <v>2014</v>
      </c>
      <c r="H50" s="11">
        <v>1248</v>
      </c>
      <c r="I50" s="12" t="s">
        <v>76</v>
      </c>
      <c r="J50" s="6"/>
      <c r="K50" s="6"/>
      <c r="L50" s="6"/>
      <c r="M50" s="6"/>
      <c r="N50" s="6"/>
      <c r="O50" s="6"/>
      <c r="P50" t="s">
        <v>296</v>
      </c>
    </row>
    <row r="51" spans="1:16" x14ac:dyDescent="0.25">
      <c r="A51" s="22">
        <v>8</v>
      </c>
      <c r="B51" s="6"/>
      <c r="C51" s="6" t="s">
        <v>75</v>
      </c>
      <c r="D51" s="6"/>
      <c r="E51" s="6"/>
      <c r="F51" s="6"/>
      <c r="G51" s="6">
        <v>1993</v>
      </c>
      <c r="H51" s="11">
        <v>1247</v>
      </c>
      <c r="I51" s="12" t="s">
        <v>77</v>
      </c>
      <c r="J51" s="6"/>
      <c r="K51" s="6"/>
      <c r="L51" s="6"/>
      <c r="M51" s="6"/>
      <c r="N51" s="6"/>
      <c r="O51" s="6"/>
      <c r="P51" s="134" t="s">
        <v>297</v>
      </c>
    </row>
    <row r="52" spans="1:16" ht="30" x14ac:dyDescent="0.25">
      <c r="A52" s="22">
        <v>9</v>
      </c>
      <c r="B52" s="6"/>
      <c r="C52" s="6" t="s">
        <v>75</v>
      </c>
      <c r="D52" s="6"/>
      <c r="E52" s="6"/>
      <c r="F52" s="6"/>
      <c r="G52" s="6">
        <v>2033</v>
      </c>
      <c r="H52" s="11">
        <v>1249</v>
      </c>
      <c r="I52" s="12" t="s">
        <v>78</v>
      </c>
      <c r="J52" s="6"/>
      <c r="K52" s="6"/>
      <c r="L52" s="6"/>
      <c r="M52" s="6"/>
      <c r="N52" s="6"/>
      <c r="O52" s="75" t="s">
        <v>81</v>
      </c>
      <c r="P52" s="134"/>
    </row>
    <row r="53" spans="1:16" ht="15.75" thickBot="1" x14ac:dyDescent="0.3">
      <c r="A53" s="23"/>
      <c r="B53" s="24"/>
      <c r="C53" s="24"/>
      <c r="D53" s="24"/>
      <c r="E53" s="24"/>
      <c r="F53" s="24"/>
      <c r="G53" s="24"/>
      <c r="H53" s="25"/>
      <c r="I53" s="40" t="s">
        <v>79</v>
      </c>
      <c r="J53" s="24"/>
      <c r="K53" s="24"/>
      <c r="L53" s="24"/>
      <c r="M53" s="24"/>
      <c r="N53" s="24"/>
      <c r="O53" s="24"/>
      <c r="P53" s="26"/>
    </row>
    <row r="54" spans="1:16" x14ac:dyDescent="0.25">
      <c r="A54" s="17"/>
      <c r="B54" s="18"/>
      <c r="C54" s="18"/>
      <c r="D54" s="18"/>
      <c r="E54" s="18"/>
      <c r="F54" s="18"/>
      <c r="G54" s="18"/>
      <c r="H54" s="17"/>
      <c r="I54" s="41"/>
      <c r="J54" s="18"/>
      <c r="K54" s="18"/>
      <c r="L54" s="18"/>
      <c r="M54" s="18"/>
      <c r="N54" s="18"/>
      <c r="O54" s="18"/>
    </row>
    <row r="55" spans="1:16" x14ac:dyDescent="0.25">
      <c r="A55" s="15"/>
      <c r="B55" s="16"/>
      <c r="C55" s="16"/>
      <c r="D55" s="16"/>
      <c r="E55" s="16"/>
      <c r="F55" s="16"/>
      <c r="G55" s="16"/>
      <c r="H55" s="15"/>
      <c r="I55" s="38"/>
      <c r="J55" s="16"/>
      <c r="K55" s="16"/>
      <c r="L55" s="16"/>
      <c r="M55" s="16"/>
      <c r="N55" s="16"/>
      <c r="O55" s="16"/>
    </row>
    <row r="56" spans="1:16" ht="30" x14ac:dyDescent="0.25">
      <c r="A56" s="11">
        <v>11</v>
      </c>
      <c r="B56" s="6"/>
      <c r="C56" s="6" t="s">
        <v>83</v>
      </c>
      <c r="D56" s="6"/>
      <c r="E56" s="6"/>
      <c r="F56" s="6"/>
      <c r="G56" s="6">
        <v>1993</v>
      </c>
      <c r="H56" s="11">
        <v>7528</v>
      </c>
      <c r="I56" s="12" t="s">
        <v>74</v>
      </c>
      <c r="J56" s="6"/>
      <c r="K56" s="6"/>
      <c r="L56" s="6"/>
      <c r="M56" s="6"/>
      <c r="N56" s="6"/>
      <c r="O56" s="75" t="s">
        <v>86</v>
      </c>
      <c r="P56" s="136" t="s">
        <v>297</v>
      </c>
    </row>
    <row r="57" spans="1:16" x14ac:dyDescent="0.25">
      <c r="A57" s="11">
        <v>11</v>
      </c>
      <c r="B57" s="6"/>
      <c r="C57" s="6" t="s">
        <v>83</v>
      </c>
      <c r="D57" s="6"/>
      <c r="E57" s="6"/>
      <c r="F57" s="6"/>
      <c r="G57" s="6">
        <v>1993</v>
      </c>
      <c r="H57" s="11">
        <v>7529</v>
      </c>
      <c r="I57" s="12" t="s">
        <v>78</v>
      </c>
      <c r="J57" s="6"/>
      <c r="K57" s="6"/>
      <c r="L57" s="6"/>
      <c r="M57" s="6"/>
      <c r="N57" s="6"/>
      <c r="O57" s="6"/>
      <c r="P57" s="136"/>
    </row>
    <row r="58" spans="1:16" x14ac:dyDescent="0.25">
      <c r="A58" s="11">
        <v>11</v>
      </c>
      <c r="B58" s="6"/>
      <c r="C58" s="6" t="s">
        <v>83</v>
      </c>
      <c r="D58" s="6"/>
      <c r="E58" s="6"/>
      <c r="F58" s="6"/>
      <c r="G58" s="6">
        <v>1993</v>
      </c>
      <c r="H58" s="11">
        <v>7530</v>
      </c>
      <c r="I58" s="12" t="s">
        <v>84</v>
      </c>
      <c r="J58" s="6"/>
      <c r="K58" s="6"/>
      <c r="L58" s="6"/>
      <c r="M58" s="6"/>
      <c r="N58" s="6"/>
      <c r="O58" s="6"/>
      <c r="P58" s="137"/>
    </row>
    <row r="59" spans="1:16" x14ac:dyDescent="0.25">
      <c r="A59" s="11"/>
      <c r="B59" s="6"/>
      <c r="C59" s="6"/>
      <c r="D59" s="6"/>
      <c r="E59" s="6"/>
      <c r="F59" s="6"/>
      <c r="G59" s="6"/>
      <c r="H59" s="11"/>
      <c r="I59" s="34" t="s">
        <v>85</v>
      </c>
      <c r="J59" s="6"/>
      <c r="K59" s="6"/>
      <c r="L59" s="6"/>
      <c r="M59" s="6"/>
      <c r="N59" s="6"/>
      <c r="O59" s="6"/>
      <c r="P59" s="6"/>
    </row>
    <row r="60" spans="1:16" ht="15.75" thickBot="1" x14ac:dyDescent="0.3"/>
    <row r="61" spans="1:16" ht="15.75" thickBot="1" x14ac:dyDescent="0.3">
      <c r="A61" s="19">
        <v>12</v>
      </c>
      <c r="B61" s="20"/>
      <c r="C61" s="20" t="s">
        <v>289</v>
      </c>
      <c r="D61" s="20"/>
      <c r="E61" s="20"/>
      <c r="F61" s="20"/>
      <c r="G61" s="20">
        <v>1989</v>
      </c>
      <c r="H61" s="21">
        <v>1187</v>
      </c>
      <c r="I61" s="39" t="s">
        <v>74</v>
      </c>
      <c r="J61" s="20"/>
      <c r="K61" s="20"/>
      <c r="L61" s="20"/>
      <c r="M61" s="20"/>
      <c r="N61" s="20"/>
      <c r="O61" s="30" t="s">
        <v>89</v>
      </c>
      <c r="P61" s="98" t="s">
        <v>291</v>
      </c>
    </row>
    <row r="62" spans="1:16" x14ac:dyDescent="0.25">
      <c r="A62" s="22">
        <v>12</v>
      </c>
      <c r="B62" s="6"/>
      <c r="C62" s="20" t="s">
        <v>289</v>
      </c>
      <c r="D62" s="18"/>
      <c r="E62" s="18"/>
      <c r="F62" s="6"/>
      <c r="G62" s="6">
        <v>1989</v>
      </c>
      <c r="H62" s="11">
        <v>1190</v>
      </c>
      <c r="I62" s="12" t="s">
        <v>87</v>
      </c>
      <c r="J62" s="6"/>
      <c r="K62" s="6"/>
      <c r="L62" s="6"/>
      <c r="M62" s="6"/>
      <c r="N62" s="6"/>
      <c r="O62" s="31"/>
      <c r="P62" s="98" t="s">
        <v>291</v>
      </c>
    </row>
    <row r="63" spans="1:16" x14ac:dyDescent="0.25">
      <c r="A63" s="32"/>
      <c r="B63" s="16"/>
      <c r="C63" s="16"/>
      <c r="D63" s="16"/>
      <c r="E63" s="16"/>
      <c r="F63" s="16"/>
      <c r="G63" s="16"/>
      <c r="H63" s="15"/>
      <c r="I63" s="42" t="s">
        <v>88</v>
      </c>
      <c r="J63" s="16"/>
      <c r="K63" s="16"/>
      <c r="L63" s="16"/>
      <c r="M63" s="16"/>
      <c r="N63" s="16"/>
      <c r="O63" s="33"/>
      <c r="P63" s="96"/>
    </row>
    <row r="64" spans="1:16" x14ac:dyDescent="0.25">
      <c r="A64" s="11"/>
      <c r="B64" s="6"/>
      <c r="C64" s="6"/>
      <c r="D64" s="6"/>
      <c r="E64" s="6"/>
      <c r="F64" s="6"/>
      <c r="G64" s="6"/>
      <c r="H64" s="11"/>
      <c r="I64" s="12"/>
      <c r="J64" s="6"/>
      <c r="K64" s="6"/>
      <c r="L64" s="6"/>
      <c r="M64" s="6"/>
      <c r="N64" s="6"/>
      <c r="O64" s="6"/>
      <c r="P64" s="96"/>
    </row>
    <row r="65" spans="1:16" x14ac:dyDescent="0.25">
      <c r="A65" s="11">
        <v>13</v>
      </c>
      <c r="B65" s="6"/>
      <c r="C65" s="6" t="s">
        <v>92</v>
      </c>
      <c r="D65" s="6"/>
      <c r="E65" s="6"/>
      <c r="F65" s="6"/>
      <c r="G65" s="6">
        <v>1985</v>
      </c>
      <c r="H65" s="11">
        <v>767</v>
      </c>
      <c r="I65" s="12" t="s">
        <v>91</v>
      </c>
      <c r="J65" s="6"/>
      <c r="K65" s="6"/>
      <c r="L65" s="6"/>
      <c r="M65" s="6"/>
      <c r="N65" s="6"/>
      <c r="O65" s="6" t="s">
        <v>93</v>
      </c>
      <c r="P65" s="98" t="s">
        <v>299</v>
      </c>
    </row>
    <row r="66" spans="1:16" x14ac:dyDescent="0.25">
      <c r="A66" s="11"/>
      <c r="B66" s="6"/>
      <c r="C66" s="6" t="s">
        <v>302</v>
      </c>
      <c r="D66" s="6"/>
      <c r="E66" s="6"/>
      <c r="F66" s="6"/>
      <c r="G66" s="6"/>
      <c r="H66" s="11"/>
      <c r="I66" s="12"/>
      <c r="J66" s="6"/>
      <c r="K66" s="6"/>
      <c r="L66" s="6"/>
      <c r="M66" s="6"/>
      <c r="N66" s="6"/>
      <c r="O66" s="6"/>
      <c r="P66" s="98" t="s">
        <v>299</v>
      </c>
    </row>
    <row r="67" spans="1:16" x14ac:dyDescent="0.25">
      <c r="A67" s="11">
        <v>14</v>
      </c>
      <c r="B67" s="6"/>
      <c r="C67" s="6" t="s">
        <v>96</v>
      </c>
      <c r="D67" s="6"/>
      <c r="E67" s="6"/>
      <c r="F67" s="6"/>
      <c r="G67" s="6">
        <v>2039</v>
      </c>
      <c r="H67" s="11" t="s">
        <v>415</v>
      </c>
      <c r="I67" s="12" t="s">
        <v>94</v>
      </c>
      <c r="J67" s="6"/>
      <c r="K67" s="6"/>
      <c r="L67" s="6"/>
      <c r="M67" s="6"/>
      <c r="N67" s="6"/>
      <c r="O67" s="6" t="s">
        <v>95</v>
      </c>
      <c r="P67" s="96"/>
    </row>
    <row r="68" spans="1:16" x14ac:dyDescent="0.25">
      <c r="A68" s="11"/>
      <c r="B68" s="6"/>
      <c r="C68" s="6"/>
      <c r="D68" s="6"/>
      <c r="E68" s="6"/>
      <c r="F68" s="6"/>
      <c r="G68" s="6"/>
      <c r="H68" s="11"/>
      <c r="I68" s="12"/>
      <c r="J68" s="6"/>
      <c r="K68" s="6"/>
      <c r="L68" s="6"/>
      <c r="M68" s="6"/>
      <c r="N68" s="6"/>
      <c r="O68" s="6"/>
      <c r="P68" s="96"/>
    </row>
    <row r="69" spans="1:16" x14ac:dyDescent="0.25">
      <c r="A69" s="11">
        <v>15</v>
      </c>
      <c r="B69" s="6"/>
      <c r="C69" s="6" t="s">
        <v>287</v>
      </c>
      <c r="D69" s="6"/>
      <c r="E69" s="6"/>
      <c r="F69" s="6"/>
      <c r="G69" s="6">
        <v>1843</v>
      </c>
      <c r="H69" s="11">
        <v>7578</v>
      </c>
      <c r="I69" s="12"/>
      <c r="J69" s="6"/>
      <c r="K69" s="6"/>
      <c r="L69" s="6"/>
      <c r="M69" s="6"/>
      <c r="N69" s="6"/>
      <c r="O69" s="6"/>
      <c r="P69" s="98" t="s">
        <v>291</v>
      </c>
    </row>
    <row r="70" spans="1:16" x14ac:dyDescent="0.25">
      <c r="C70" s="6" t="s">
        <v>287</v>
      </c>
      <c r="D70" s="85"/>
      <c r="E70" s="85"/>
      <c r="G70" s="6">
        <v>1843</v>
      </c>
      <c r="H70" s="2">
        <v>7579</v>
      </c>
    </row>
    <row r="73" spans="1:16" x14ac:dyDescent="0.25">
      <c r="E73" t="s">
        <v>410</v>
      </c>
      <c r="F73" t="s">
        <v>413</v>
      </c>
    </row>
    <row r="74" spans="1:16" x14ac:dyDescent="0.25">
      <c r="E74" t="s">
        <v>411</v>
      </c>
      <c r="F74" t="s">
        <v>412</v>
      </c>
    </row>
    <row r="75" spans="1:16" x14ac:dyDescent="0.25">
      <c r="E75" t="s">
        <v>434</v>
      </c>
      <c r="F75" t="s">
        <v>414</v>
      </c>
    </row>
  </sheetData>
  <mergeCells count="16">
    <mergeCell ref="P56:P58"/>
    <mergeCell ref="P9:P11"/>
    <mergeCell ref="P12:P13"/>
    <mergeCell ref="P16:P20"/>
    <mergeCell ref="P23:P25"/>
    <mergeCell ref="P4:P6"/>
    <mergeCell ref="O4:O7"/>
    <mergeCell ref="P29:P33"/>
    <mergeCell ref="P36:P37"/>
    <mergeCell ref="P51:P52"/>
    <mergeCell ref="A4:A7"/>
    <mergeCell ref="A9:A10"/>
    <mergeCell ref="B9:B10"/>
    <mergeCell ref="G2:I2"/>
    <mergeCell ref="J2:L2"/>
    <mergeCell ref="B4:B7"/>
  </mergeCells>
  <pageMargins left="0.7" right="0.7" top="0.75" bottom="0.75" header="0.3" footer="0.3"/>
  <pageSetup paperSize="9" orientation="portrait" r:id="rId1"/>
  <headerFooter>
    <oddHeader>&amp;C&amp;"Cambria"&amp;11&amp;K1AFF96 Classification | INTERNAL</oddHeader>
    <oddFooter>&amp;C&amp;"Cambria"&amp;11&amp;K1AFF96 Classification | INTERNAL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workbookViewId="0">
      <selection activeCell="L12" sqref="L12"/>
    </sheetView>
  </sheetViews>
  <sheetFormatPr defaultRowHeight="15" x14ac:dyDescent="0.25"/>
  <cols>
    <col min="1" max="1" width="10.7109375" bestFit="1" customWidth="1"/>
  </cols>
  <sheetData>
    <row r="1" spans="1:24" ht="39" x14ac:dyDescent="0.25">
      <c r="A1" s="117"/>
      <c r="B1" s="118" t="s">
        <v>367</v>
      </c>
      <c r="C1" s="125" t="s">
        <v>269</v>
      </c>
      <c r="D1" s="118" t="s">
        <v>408</v>
      </c>
      <c r="E1" s="118" t="s">
        <v>409</v>
      </c>
      <c r="F1" s="118" t="s">
        <v>240</v>
      </c>
      <c r="G1" s="118"/>
      <c r="H1" s="118"/>
      <c r="I1" s="125" t="s">
        <v>371</v>
      </c>
      <c r="J1" s="125" t="s">
        <v>378</v>
      </c>
      <c r="K1" s="118" t="s">
        <v>366</v>
      </c>
      <c r="L1" s="139" t="s">
        <v>373</v>
      </c>
      <c r="M1" s="139"/>
      <c r="N1" s="139"/>
      <c r="O1" s="139"/>
      <c r="P1" s="118" t="s">
        <v>402</v>
      </c>
      <c r="Q1" s="118" t="s">
        <v>403</v>
      </c>
      <c r="R1" s="118" t="s">
        <v>407</v>
      </c>
      <c r="S1" s="118" t="s">
        <v>406</v>
      </c>
      <c r="T1" s="118" t="s">
        <v>405</v>
      </c>
      <c r="U1" s="118" t="s">
        <v>404</v>
      </c>
      <c r="V1" s="118" t="s">
        <v>361</v>
      </c>
    </row>
    <row r="2" spans="1:24" x14ac:dyDescent="0.25">
      <c r="A2" s="125" t="s">
        <v>352</v>
      </c>
      <c r="B2" s="116"/>
      <c r="C2" s="117"/>
      <c r="D2" s="116"/>
      <c r="E2" s="116"/>
      <c r="F2" s="116" t="s">
        <v>303</v>
      </c>
      <c r="G2" s="116" t="s">
        <v>304</v>
      </c>
      <c r="H2" s="116" t="s">
        <v>305</v>
      </c>
      <c r="I2" s="117"/>
      <c r="J2" s="117"/>
      <c r="K2" s="116"/>
      <c r="L2" s="118" t="s">
        <v>374</v>
      </c>
      <c r="M2" s="118" t="s">
        <v>375</v>
      </c>
      <c r="N2" s="118" t="s">
        <v>376</v>
      </c>
      <c r="O2" s="118" t="s">
        <v>377</v>
      </c>
      <c r="P2" s="116"/>
      <c r="Q2" s="116"/>
      <c r="R2" s="116"/>
      <c r="S2" s="116"/>
      <c r="T2" s="116"/>
      <c r="U2" s="116"/>
      <c r="V2" s="116"/>
      <c r="W2" s="115"/>
      <c r="X2" s="115"/>
    </row>
    <row r="3" spans="1:24" ht="26.25" x14ac:dyDescent="0.25">
      <c r="A3" s="117" t="s">
        <v>363</v>
      </c>
      <c r="B3" s="116" t="s">
        <v>355</v>
      </c>
      <c r="C3" s="117">
        <v>2014</v>
      </c>
      <c r="D3" s="116">
        <v>1246</v>
      </c>
      <c r="E3" s="116"/>
      <c r="F3" s="116">
        <v>0</v>
      </c>
      <c r="G3" s="116">
        <v>1</v>
      </c>
      <c r="H3" s="116">
        <v>15</v>
      </c>
      <c r="I3" s="117"/>
      <c r="J3" s="117">
        <f>((F3*20)*20+G3*20+H3)*$B$11</f>
        <v>7.6370000000000005</v>
      </c>
      <c r="K3" s="116" t="s">
        <v>372</v>
      </c>
      <c r="L3" s="116" t="s">
        <v>382</v>
      </c>
      <c r="M3" s="116" t="s">
        <v>383</v>
      </c>
      <c r="N3" s="116" t="s">
        <v>382</v>
      </c>
      <c r="O3" s="116" t="s">
        <v>381</v>
      </c>
      <c r="P3" s="124"/>
      <c r="Q3" s="124"/>
      <c r="R3" s="124"/>
      <c r="S3" s="124"/>
      <c r="T3" s="124"/>
      <c r="U3" s="124"/>
      <c r="V3" s="116" t="s">
        <v>364</v>
      </c>
      <c r="W3" s="115"/>
      <c r="X3" s="115"/>
    </row>
    <row r="4" spans="1:24" ht="26.25" x14ac:dyDescent="0.25">
      <c r="A4" s="117" t="s">
        <v>363</v>
      </c>
      <c r="B4" s="116" t="s">
        <v>355</v>
      </c>
      <c r="C4" s="117">
        <v>2014</v>
      </c>
      <c r="D4" s="116">
        <v>1248</v>
      </c>
      <c r="E4" s="116"/>
      <c r="F4" s="116">
        <v>0</v>
      </c>
      <c r="G4" s="116">
        <v>3</v>
      </c>
      <c r="H4" s="116">
        <v>13</v>
      </c>
      <c r="I4" s="117"/>
      <c r="J4" s="117">
        <f t="shared" ref="J4:J9" si="0">((F4*20)*20+G4*20+H4)*$B$11</f>
        <v>15.928600000000001</v>
      </c>
      <c r="K4" s="116" t="s">
        <v>372</v>
      </c>
      <c r="L4" s="116" t="s">
        <v>382</v>
      </c>
      <c r="M4" s="116" t="s">
        <v>383</v>
      </c>
      <c r="N4" s="116" t="s">
        <v>382</v>
      </c>
      <c r="O4" s="116" t="s">
        <v>381</v>
      </c>
      <c r="P4" s="124"/>
      <c r="Q4" s="124"/>
      <c r="R4" s="124"/>
      <c r="S4" s="124"/>
      <c r="T4" s="124"/>
      <c r="U4" s="124"/>
      <c r="V4" s="116" t="s">
        <v>364</v>
      </c>
      <c r="W4" s="115"/>
      <c r="X4" s="115"/>
    </row>
    <row r="5" spans="1:24" ht="26.25" x14ac:dyDescent="0.25">
      <c r="A5" s="117" t="s">
        <v>363</v>
      </c>
      <c r="B5" s="116" t="s">
        <v>355</v>
      </c>
      <c r="C5" s="117">
        <v>1993</v>
      </c>
      <c r="D5" s="116">
        <v>1247</v>
      </c>
      <c r="E5" s="116"/>
      <c r="F5" s="116">
        <v>0</v>
      </c>
      <c r="G5" s="116">
        <v>3</v>
      </c>
      <c r="H5" s="116">
        <v>9</v>
      </c>
      <c r="I5" s="117"/>
      <c r="J5" s="117">
        <f t="shared" si="0"/>
        <v>15.0558</v>
      </c>
      <c r="K5" s="116">
        <v>40</v>
      </c>
      <c r="L5" s="116" t="s">
        <v>382</v>
      </c>
      <c r="M5" s="116" t="s">
        <v>383</v>
      </c>
      <c r="N5" s="116" t="s">
        <v>382</v>
      </c>
      <c r="O5" s="116" t="s">
        <v>381</v>
      </c>
      <c r="P5" s="116"/>
      <c r="Q5" s="116"/>
      <c r="R5" s="116"/>
      <c r="S5" s="116"/>
      <c r="T5" s="116"/>
      <c r="U5" s="116"/>
      <c r="V5" s="116" t="s">
        <v>364</v>
      </c>
      <c r="W5" s="115"/>
      <c r="X5" s="115"/>
    </row>
    <row r="6" spans="1:24" ht="26.25" x14ac:dyDescent="0.25">
      <c r="A6" s="117" t="s">
        <v>363</v>
      </c>
      <c r="B6" s="116" t="s">
        <v>355</v>
      </c>
      <c r="C6" s="117">
        <v>2033</v>
      </c>
      <c r="D6" s="116">
        <v>1249</v>
      </c>
      <c r="E6" s="116"/>
      <c r="F6" s="116">
        <v>0</v>
      </c>
      <c r="G6" s="116"/>
      <c r="H6" s="116">
        <v>18</v>
      </c>
      <c r="I6" s="117"/>
      <c r="J6" s="117">
        <f t="shared" si="0"/>
        <v>3.9276</v>
      </c>
      <c r="K6" s="116">
        <v>40</v>
      </c>
      <c r="L6" s="116" t="s">
        <v>382</v>
      </c>
      <c r="M6" s="116" t="s">
        <v>383</v>
      </c>
      <c r="N6" s="116" t="s">
        <v>382</v>
      </c>
      <c r="O6" s="116" t="s">
        <v>381</v>
      </c>
      <c r="P6" s="116"/>
      <c r="Q6" s="116"/>
      <c r="R6" s="116"/>
      <c r="S6" s="116"/>
      <c r="T6" s="116"/>
      <c r="U6" s="116"/>
      <c r="V6" s="116" t="s">
        <v>364</v>
      </c>
      <c r="W6" s="115"/>
      <c r="X6" s="115"/>
    </row>
    <row r="7" spans="1:24" ht="26.25" x14ac:dyDescent="0.25">
      <c r="A7" s="117" t="s">
        <v>363</v>
      </c>
      <c r="B7" s="116" t="s">
        <v>356</v>
      </c>
      <c r="C7" s="117">
        <v>2014</v>
      </c>
      <c r="D7" s="116">
        <v>1179</v>
      </c>
      <c r="E7" s="116"/>
      <c r="F7" s="116">
        <v>0</v>
      </c>
      <c r="G7" s="116">
        <v>4</v>
      </c>
      <c r="H7" s="116">
        <v>7</v>
      </c>
      <c r="I7" s="117"/>
      <c r="J7" s="117">
        <f t="shared" si="0"/>
        <v>18.9834</v>
      </c>
      <c r="K7" s="116" t="s">
        <v>372</v>
      </c>
      <c r="L7" s="116" t="s">
        <v>384</v>
      </c>
      <c r="M7" s="116" t="s">
        <v>385</v>
      </c>
      <c r="N7" s="116" t="s">
        <v>398</v>
      </c>
      <c r="O7" s="116" t="s">
        <v>384</v>
      </c>
      <c r="P7" s="124"/>
      <c r="Q7" s="124"/>
      <c r="R7" s="124"/>
      <c r="S7" s="124"/>
      <c r="T7" s="124"/>
      <c r="U7" s="124"/>
      <c r="V7" s="116" t="s">
        <v>365</v>
      </c>
      <c r="W7" s="115"/>
      <c r="X7" s="115"/>
    </row>
    <row r="8" spans="1:24" ht="39" x14ac:dyDescent="0.25">
      <c r="A8" s="117" t="s">
        <v>362</v>
      </c>
      <c r="B8" s="116" t="s">
        <v>357</v>
      </c>
      <c r="C8" s="117">
        <v>2014</v>
      </c>
      <c r="D8" s="116">
        <v>707</v>
      </c>
      <c r="E8" s="116"/>
      <c r="F8" s="116">
        <v>0</v>
      </c>
      <c r="G8" s="116">
        <v>3</v>
      </c>
      <c r="H8" s="116">
        <v>3</v>
      </c>
      <c r="I8" s="117"/>
      <c r="J8" s="117">
        <f t="shared" si="0"/>
        <v>13.746600000000001</v>
      </c>
      <c r="K8" s="116" t="s">
        <v>372</v>
      </c>
      <c r="L8" s="116" t="s">
        <v>388</v>
      </c>
      <c r="M8" s="116" t="s">
        <v>387</v>
      </c>
      <c r="N8" s="124"/>
      <c r="O8" s="116" t="s">
        <v>386</v>
      </c>
      <c r="P8" s="116"/>
      <c r="Q8" s="116"/>
      <c r="R8" s="116"/>
      <c r="S8" s="116"/>
      <c r="T8" s="116"/>
      <c r="U8" s="116"/>
      <c r="V8" s="116" t="s">
        <v>365</v>
      </c>
      <c r="W8" s="115"/>
      <c r="X8" s="115"/>
    </row>
    <row r="9" spans="1:24" ht="26.25" x14ac:dyDescent="0.25">
      <c r="A9" s="116" t="s">
        <v>362</v>
      </c>
      <c r="B9" s="116" t="s">
        <v>354</v>
      </c>
      <c r="C9" s="116">
        <v>1892</v>
      </c>
      <c r="D9" s="116">
        <v>1007</v>
      </c>
      <c r="E9" s="116" t="s">
        <v>401</v>
      </c>
      <c r="F9" s="116">
        <v>1</v>
      </c>
      <c r="G9" s="116">
        <v>18</v>
      </c>
      <c r="H9" s="116">
        <v>3</v>
      </c>
      <c r="I9" s="116"/>
      <c r="J9" s="117">
        <f t="shared" si="0"/>
        <v>166.48660000000001</v>
      </c>
      <c r="K9" s="116">
        <v>14</v>
      </c>
      <c r="L9" s="116" t="s">
        <v>392</v>
      </c>
      <c r="M9" s="116"/>
      <c r="N9" s="116" t="s">
        <v>394</v>
      </c>
      <c r="O9" s="116" t="s">
        <v>393</v>
      </c>
      <c r="P9" s="116"/>
      <c r="Q9" s="116"/>
      <c r="R9" s="116"/>
      <c r="S9" s="116"/>
      <c r="T9" s="116"/>
      <c r="U9" s="116"/>
      <c r="V9" s="116" t="s">
        <v>364</v>
      </c>
      <c r="W9" s="115"/>
      <c r="X9" s="115"/>
    </row>
    <row r="11" spans="1:24" x14ac:dyDescent="0.25">
      <c r="A11" s="126" t="s">
        <v>414</v>
      </c>
      <c r="B11" s="90">
        <v>0.21820000000000001</v>
      </c>
    </row>
  </sheetData>
  <mergeCells count="1">
    <mergeCell ref="L1:O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Views>
    <sheetView topLeftCell="H1" workbookViewId="0">
      <selection activeCell="S7" sqref="S7"/>
    </sheetView>
  </sheetViews>
  <sheetFormatPr defaultRowHeight="15" x14ac:dyDescent="0.25"/>
  <cols>
    <col min="1" max="1" width="12.5703125" bestFit="1" customWidth="1"/>
    <col min="6" max="6" width="6.28515625" bestFit="1" customWidth="1"/>
    <col min="7" max="7" width="5.5703125" bestFit="1" customWidth="1"/>
    <col min="8" max="8" width="4.85546875" bestFit="1" customWidth="1"/>
    <col min="10" max="10" width="8" bestFit="1" customWidth="1"/>
    <col min="21" max="21" width="21.28515625" style="60" customWidth="1"/>
    <col min="22" max="22" width="13.42578125" style="60" customWidth="1"/>
    <col min="23" max="23" width="11.140625" customWidth="1"/>
  </cols>
  <sheetData>
    <row r="1" spans="1:26" ht="26.25" x14ac:dyDescent="0.25">
      <c r="A1" s="117"/>
      <c r="B1" s="118" t="s">
        <v>367</v>
      </c>
      <c r="C1" s="125" t="s">
        <v>269</v>
      </c>
      <c r="D1" s="118" t="s">
        <v>408</v>
      </c>
      <c r="E1" s="118" t="s">
        <v>409</v>
      </c>
      <c r="F1" s="118" t="s">
        <v>240</v>
      </c>
      <c r="G1" s="118"/>
      <c r="H1" s="118"/>
      <c r="I1" s="125" t="s">
        <v>371</v>
      </c>
      <c r="J1" s="125" t="s">
        <v>378</v>
      </c>
      <c r="K1" s="118" t="s">
        <v>366</v>
      </c>
      <c r="L1" s="118" t="s">
        <v>361</v>
      </c>
      <c r="M1" s="139" t="s">
        <v>373</v>
      </c>
      <c r="N1" s="139"/>
      <c r="O1" s="139"/>
      <c r="P1" s="139"/>
      <c r="U1" s="118" t="s">
        <v>402</v>
      </c>
      <c r="V1" s="118" t="s">
        <v>403</v>
      </c>
      <c r="W1" s="118" t="s">
        <v>407</v>
      </c>
      <c r="X1" s="118" t="s">
        <v>406</v>
      </c>
      <c r="Y1" s="118" t="s">
        <v>405</v>
      </c>
      <c r="Z1" s="118" t="s">
        <v>404</v>
      </c>
    </row>
    <row r="2" spans="1:26" x14ac:dyDescent="0.25">
      <c r="A2" s="125" t="s">
        <v>358</v>
      </c>
      <c r="B2" s="116"/>
      <c r="C2" s="117"/>
      <c r="D2" s="116"/>
      <c r="E2" s="117"/>
      <c r="F2" s="116" t="s">
        <v>303</v>
      </c>
      <c r="G2" s="116" t="s">
        <v>304</v>
      </c>
      <c r="H2" s="116" t="s">
        <v>305</v>
      </c>
      <c r="I2" s="117"/>
      <c r="J2" s="117"/>
      <c r="K2" s="117"/>
      <c r="L2" s="117"/>
      <c r="M2" s="118" t="s">
        <v>374</v>
      </c>
      <c r="N2" s="118" t="s">
        <v>375</v>
      </c>
      <c r="O2" s="118" t="s">
        <v>376</v>
      </c>
      <c r="P2" s="118" t="s">
        <v>377</v>
      </c>
      <c r="Q2" s="118" t="s">
        <v>374</v>
      </c>
      <c r="R2" s="118" t="s">
        <v>375</v>
      </c>
      <c r="S2" s="118" t="s">
        <v>376</v>
      </c>
      <c r="T2" s="118" t="s">
        <v>377</v>
      </c>
      <c r="W2" s="117"/>
      <c r="X2" s="117"/>
      <c r="Y2" s="117"/>
      <c r="Z2" s="117"/>
    </row>
    <row r="3" spans="1:26" ht="26.25" x14ac:dyDescent="0.25">
      <c r="A3" s="117" t="s">
        <v>363</v>
      </c>
      <c r="B3" s="116" t="s">
        <v>353</v>
      </c>
      <c r="C3" s="117">
        <v>2014</v>
      </c>
      <c r="D3" s="116">
        <v>735</v>
      </c>
      <c r="E3" s="116"/>
      <c r="F3" s="116">
        <v>0</v>
      </c>
      <c r="G3" s="116">
        <v>11</v>
      </c>
      <c r="H3" s="116">
        <v>14</v>
      </c>
      <c r="I3" s="117"/>
      <c r="J3" s="117">
        <f>((F3*20)*20+G3*20+H3)*$B$9</f>
        <v>51.058799999999998</v>
      </c>
      <c r="K3" s="116" t="s">
        <v>372</v>
      </c>
      <c r="L3" s="116" t="s">
        <v>365</v>
      </c>
      <c r="M3" s="124" t="s">
        <v>421</v>
      </c>
      <c r="N3" s="124" t="s">
        <v>422</v>
      </c>
      <c r="O3" s="124" t="s">
        <v>379</v>
      </c>
      <c r="P3" s="124" t="s">
        <v>423</v>
      </c>
      <c r="Q3" s="127" t="s">
        <v>427</v>
      </c>
      <c r="R3" s="127" t="s">
        <v>428</v>
      </c>
      <c r="S3" s="127" t="s">
        <v>379</v>
      </c>
      <c r="T3" s="127" t="s">
        <v>429</v>
      </c>
      <c r="U3" s="116" t="s">
        <v>417</v>
      </c>
      <c r="V3" s="116" t="s">
        <v>418</v>
      </c>
      <c r="W3" s="116" t="s">
        <v>419</v>
      </c>
      <c r="X3" s="116" t="s">
        <v>420</v>
      </c>
      <c r="Y3" s="116">
        <v>1997</v>
      </c>
      <c r="Z3" s="116"/>
    </row>
    <row r="4" spans="1:26" ht="39" x14ac:dyDescent="0.25">
      <c r="A4" s="117" t="s">
        <v>363</v>
      </c>
      <c r="B4" s="116" t="s">
        <v>353</v>
      </c>
      <c r="C4" s="117">
        <v>2014</v>
      </c>
      <c r="D4" s="116">
        <v>7445</v>
      </c>
      <c r="E4" s="116"/>
      <c r="F4" s="116">
        <v>0</v>
      </c>
      <c r="G4" s="116">
        <v>5</v>
      </c>
      <c r="H4" s="116">
        <v>1</v>
      </c>
      <c r="I4" s="117"/>
      <c r="J4" s="117">
        <f t="shared" ref="J4:J6" si="0">((F4*20)*20+G4*20+H4)*$B$9</f>
        <v>22.0382</v>
      </c>
      <c r="K4" s="116" t="s">
        <v>372</v>
      </c>
      <c r="L4" s="116" t="s">
        <v>365</v>
      </c>
      <c r="M4" s="124" t="s">
        <v>379</v>
      </c>
      <c r="N4" s="124" t="s">
        <v>424</v>
      </c>
      <c r="O4" s="124" t="s">
        <v>425</v>
      </c>
      <c r="P4" s="124" t="s">
        <v>426</v>
      </c>
      <c r="Q4" s="127" t="s">
        <v>379</v>
      </c>
      <c r="R4" s="127" t="s">
        <v>430</v>
      </c>
      <c r="S4" s="128" t="s">
        <v>431</v>
      </c>
      <c r="T4" s="128" t="s">
        <v>429</v>
      </c>
      <c r="U4" s="116" t="s">
        <v>417</v>
      </c>
      <c r="V4" s="116" t="s">
        <v>418</v>
      </c>
      <c r="W4" s="116" t="s">
        <v>419</v>
      </c>
      <c r="X4" s="116" t="s">
        <v>420</v>
      </c>
      <c r="Y4" s="116">
        <v>1997</v>
      </c>
      <c r="Z4" s="116"/>
    </row>
    <row r="5" spans="1:26" x14ac:dyDescent="0.25">
      <c r="A5" s="120" t="s">
        <v>362</v>
      </c>
      <c r="B5" s="119" t="s">
        <v>357</v>
      </c>
      <c r="C5" s="120">
        <v>2014</v>
      </c>
      <c r="D5" s="119">
        <v>707</v>
      </c>
      <c r="E5" s="119"/>
      <c r="F5" s="119">
        <v>0</v>
      </c>
      <c r="G5" s="119">
        <v>0</v>
      </c>
      <c r="H5" s="119">
        <v>0</v>
      </c>
      <c r="I5" s="119"/>
      <c r="J5" s="119">
        <f t="shared" si="0"/>
        <v>0</v>
      </c>
      <c r="K5" s="119" t="s">
        <v>372</v>
      </c>
      <c r="L5" s="119" t="s">
        <v>365</v>
      </c>
      <c r="M5" s="119"/>
      <c r="N5" s="119"/>
      <c r="O5" s="119"/>
      <c r="P5" s="119"/>
      <c r="U5" s="119"/>
      <c r="V5" s="119"/>
      <c r="W5" s="119"/>
      <c r="X5" s="119"/>
      <c r="Y5" s="119"/>
      <c r="Z5" s="119"/>
    </row>
    <row r="6" spans="1:26" ht="39" x14ac:dyDescent="0.25">
      <c r="A6" s="117" t="s">
        <v>362</v>
      </c>
      <c r="B6" s="116" t="s">
        <v>359</v>
      </c>
      <c r="C6" s="117">
        <v>2014</v>
      </c>
      <c r="D6" s="116">
        <v>790</v>
      </c>
      <c r="E6" s="116"/>
      <c r="F6" s="116">
        <v>0</v>
      </c>
      <c r="G6" s="116">
        <v>12</v>
      </c>
      <c r="H6" s="116">
        <v>12</v>
      </c>
      <c r="I6" s="117"/>
      <c r="J6" s="117">
        <f t="shared" si="0"/>
        <v>54.986400000000003</v>
      </c>
      <c r="K6" s="116">
        <v>35</v>
      </c>
      <c r="L6" s="116" t="s">
        <v>365</v>
      </c>
      <c r="M6" s="116" t="s">
        <v>389</v>
      </c>
      <c r="N6" s="116" t="s">
        <v>395</v>
      </c>
      <c r="O6" s="116" t="s">
        <v>390</v>
      </c>
      <c r="P6" s="116" t="s">
        <v>390</v>
      </c>
      <c r="U6" s="116"/>
      <c r="V6" s="116"/>
      <c r="W6" s="116"/>
      <c r="X6" s="116"/>
      <c r="Y6" s="116"/>
      <c r="Z6" s="116"/>
    </row>
    <row r="7" spans="1:26" ht="39" x14ac:dyDescent="0.25">
      <c r="A7" s="117" t="s">
        <v>362</v>
      </c>
      <c r="B7" s="116" t="s">
        <v>360</v>
      </c>
      <c r="C7" s="117">
        <v>2014</v>
      </c>
      <c r="D7" s="116">
        <v>792</v>
      </c>
      <c r="E7" s="116"/>
      <c r="F7" s="116">
        <v>1</v>
      </c>
      <c r="G7" s="116">
        <v>3</v>
      </c>
      <c r="H7" s="116">
        <v>3</v>
      </c>
      <c r="I7" s="117">
        <v>1</v>
      </c>
      <c r="J7" s="117">
        <v>1.7000000000000001E-2</v>
      </c>
      <c r="K7" s="116">
        <v>35</v>
      </c>
      <c r="L7" s="116" t="s">
        <v>365</v>
      </c>
      <c r="M7" s="116" t="s">
        <v>389</v>
      </c>
      <c r="N7" s="116" t="s">
        <v>395</v>
      </c>
      <c r="O7" s="116" t="s">
        <v>390</v>
      </c>
      <c r="P7" s="116" t="s">
        <v>391</v>
      </c>
      <c r="U7" s="116"/>
      <c r="V7" s="116"/>
      <c r="W7" s="116"/>
      <c r="X7" s="116"/>
      <c r="Y7" s="116"/>
      <c r="Z7" s="116"/>
    </row>
    <row r="9" spans="1:26" x14ac:dyDescent="0.25">
      <c r="A9" s="126" t="s">
        <v>414</v>
      </c>
      <c r="B9" s="90">
        <v>0.21820000000000001</v>
      </c>
    </row>
  </sheetData>
  <mergeCells count="1">
    <mergeCell ref="M1:P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zoomScale="101" workbookViewId="0">
      <selection activeCell="C6" sqref="C6"/>
    </sheetView>
  </sheetViews>
  <sheetFormatPr defaultRowHeight="15" x14ac:dyDescent="0.25"/>
  <cols>
    <col min="1" max="1" width="14.140625" bestFit="1" customWidth="1"/>
    <col min="2" max="2" width="11.42578125" style="60" customWidth="1"/>
    <col min="3" max="3" width="8" customWidth="1"/>
    <col min="4" max="5" width="8.7109375" style="60" customWidth="1"/>
    <col min="6" max="6" width="6.28515625" style="60" bestFit="1" customWidth="1"/>
    <col min="7" max="7" width="5.5703125" style="60" bestFit="1" customWidth="1"/>
    <col min="8" max="8" width="4.85546875" style="60" bestFit="1" customWidth="1"/>
    <col min="9" max="9" width="5.5703125" bestFit="1" customWidth="1"/>
    <col min="10" max="10" width="8" bestFit="1" customWidth="1"/>
    <col min="11" max="11" width="10.5703125" style="60" customWidth="1"/>
    <col min="12" max="12" width="9.28515625" style="60" customWidth="1"/>
    <col min="13" max="13" width="8.7109375" style="60" customWidth="1"/>
    <col min="14" max="14" width="9.42578125" style="60" customWidth="1"/>
    <col min="15" max="15" width="9.140625" style="60" customWidth="1"/>
    <col min="16" max="16" width="8.42578125" style="60" customWidth="1"/>
    <col min="17" max="17" width="8.85546875" style="60" customWidth="1"/>
    <col min="18" max="18" width="9.140625" style="60" customWidth="1"/>
    <col min="19" max="19" width="11.28515625" style="60" customWidth="1"/>
    <col min="20" max="20" width="9" style="60" customWidth="1"/>
    <col min="21" max="22" width="8.42578125" style="60" customWidth="1"/>
  </cols>
  <sheetData>
    <row r="1" spans="1:24" ht="26.25" x14ac:dyDescent="0.25">
      <c r="A1" s="117"/>
      <c r="B1" s="118" t="s">
        <v>367</v>
      </c>
      <c r="C1" s="125" t="s">
        <v>269</v>
      </c>
      <c r="D1" s="118" t="s">
        <v>408</v>
      </c>
      <c r="E1" s="118" t="s">
        <v>409</v>
      </c>
      <c r="F1" s="118" t="s">
        <v>240</v>
      </c>
      <c r="G1" s="118"/>
      <c r="H1" s="118"/>
      <c r="I1" s="125" t="s">
        <v>371</v>
      </c>
      <c r="J1" s="125" t="s">
        <v>378</v>
      </c>
      <c r="K1" s="118" t="s">
        <v>366</v>
      </c>
      <c r="L1" s="118" t="s">
        <v>361</v>
      </c>
      <c r="M1" s="139" t="s">
        <v>373</v>
      </c>
      <c r="N1" s="139"/>
      <c r="O1" s="139"/>
      <c r="P1" s="139"/>
      <c r="Q1" s="118" t="s">
        <v>402</v>
      </c>
      <c r="R1" s="118" t="s">
        <v>403</v>
      </c>
      <c r="S1" s="118" t="s">
        <v>407</v>
      </c>
      <c r="T1" s="118" t="s">
        <v>406</v>
      </c>
      <c r="U1" s="118" t="s">
        <v>405</v>
      </c>
      <c r="V1" s="118" t="s">
        <v>404</v>
      </c>
      <c r="W1" s="115"/>
      <c r="X1" s="115"/>
    </row>
    <row r="2" spans="1:24" x14ac:dyDescent="0.25">
      <c r="A2" s="125" t="s">
        <v>350</v>
      </c>
      <c r="B2" s="116"/>
      <c r="C2" s="117"/>
      <c r="D2" s="116"/>
      <c r="E2" s="116"/>
      <c r="F2" s="116" t="s">
        <v>303</v>
      </c>
      <c r="G2" s="116" t="s">
        <v>304</v>
      </c>
      <c r="H2" s="116" t="s">
        <v>305</v>
      </c>
      <c r="I2" s="117"/>
      <c r="J2" s="117"/>
      <c r="K2" s="116"/>
      <c r="L2" s="116"/>
      <c r="M2" s="118" t="s">
        <v>374</v>
      </c>
      <c r="N2" s="118" t="s">
        <v>375</v>
      </c>
      <c r="O2" s="118" t="s">
        <v>376</v>
      </c>
      <c r="P2" s="118" t="s">
        <v>377</v>
      </c>
      <c r="Q2" s="116"/>
      <c r="R2" s="116"/>
      <c r="S2" s="116"/>
      <c r="T2" s="116"/>
      <c r="U2" s="116"/>
      <c r="V2" s="116"/>
      <c r="W2" s="115"/>
      <c r="X2" s="115"/>
    </row>
    <row r="3" spans="1:24" ht="26.25" x14ac:dyDescent="0.25">
      <c r="A3" s="117" t="s">
        <v>363</v>
      </c>
      <c r="B3" s="116" t="s">
        <v>211</v>
      </c>
      <c r="C3" s="117">
        <v>1839</v>
      </c>
      <c r="D3" s="116">
        <v>7545</v>
      </c>
      <c r="E3" s="116"/>
      <c r="F3" s="116">
        <v>0</v>
      </c>
      <c r="G3" s="116">
        <v>2</v>
      </c>
      <c r="H3" s="116">
        <v>15</v>
      </c>
      <c r="I3" s="117">
        <v>0</v>
      </c>
      <c r="J3" s="117">
        <f>((F3*20)*20+G3*20+H3)*$B$11</f>
        <v>12.000999999999999</v>
      </c>
      <c r="K3" s="116">
        <v>168</v>
      </c>
      <c r="L3" s="116" t="s">
        <v>364</v>
      </c>
      <c r="M3" s="116" t="s">
        <v>379</v>
      </c>
      <c r="N3" s="116" t="s">
        <v>333</v>
      </c>
      <c r="O3" s="116" t="s">
        <v>333</v>
      </c>
      <c r="P3" s="116" t="s">
        <v>334</v>
      </c>
      <c r="Q3" s="116"/>
      <c r="R3" s="116"/>
      <c r="S3" s="116"/>
      <c r="T3" s="116"/>
      <c r="U3" s="116"/>
      <c r="V3" s="116"/>
      <c r="W3" s="115"/>
      <c r="X3" s="115"/>
    </row>
    <row r="4" spans="1:24" ht="26.25" x14ac:dyDescent="0.25">
      <c r="A4" s="117" t="s">
        <v>363</v>
      </c>
      <c r="B4" s="116" t="s">
        <v>211</v>
      </c>
      <c r="C4" s="117">
        <v>1777</v>
      </c>
      <c r="D4" s="116">
        <v>7546</v>
      </c>
      <c r="E4" s="116"/>
      <c r="F4" s="116">
        <v>0</v>
      </c>
      <c r="G4" s="116">
        <v>3</v>
      </c>
      <c r="H4" s="116">
        <v>4</v>
      </c>
      <c r="I4" s="117">
        <v>0</v>
      </c>
      <c r="J4" s="117">
        <f t="shared" ref="J4:J8" si="0">((F4*20)*20+G4*20+H4)*$B$11</f>
        <v>13.9648</v>
      </c>
      <c r="K4" s="116">
        <v>167</v>
      </c>
      <c r="L4" s="116" t="s">
        <v>364</v>
      </c>
      <c r="M4" s="116"/>
      <c r="N4" s="116" t="s">
        <v>333</v>
      </c>
      <c r="O4" s="116" t="s">
        <v>379</v>
      </c>
      <c r="P4" s="116" t="s">
        <v>335</v>
      </c>
      <c r="Q4" s="116"/>
      <c r="R4" s="116"/>
      <c r="S4" s="116"/>
      <c r="T4" s="116"/>
      <c r="U4" s="116"/>
      <c r="V4" s="116"/>
      <c r="W4" s="115"/>
      <c r="X4" s="115"/>
    </row>
    <row r="5" spans="1:24" x14ac:dyDescent="0.25">
      <c r="A5" s="120" t="s">
        <v>363</v>
      </c>
      <c r="B5" s="119" t="s">
        <v>351</v>
      </c>
      <c r="C5" s="120">
        <v>1889</v>
      </c>
      <c r="D5" s="119">
        <v>1187</v>
      </c>
      <c r="E5" s="119">
        <v>1583</v>
      </c>
      <c r="F5" s="116">
        <v>0</v>
      </c>
      <c r="G5" s="116">
        <v>2</v>
      </c>
      <c r="H5" s="116">
        <v>15</v>
      </c>
      <c r="I5" s="117">
        <v>0</v>
      </c>
      <c r="J5" s="117">
        <f t="shared" si="0"/>
        <v>12.000999999999999</v>
      </c>
      <c r="K5" s="116">
        <v>103</v>
      </c>
      <c r="L5" s="116" t="s">
        <v>364</v>
      </c>
      <c r="M5" s="119"/>
      <c r="N5" s="119"/>
      <c r="O5" s="119"/>
      <c r="P5" s="119"/>
      <c r="Q5" s="116"/>
      <c r="R5" s="116"/>
      <c r="S5" s="116"/>
      <c r="T5" s="116"/>
      <c r="U5" s="116"/>
      <c r="V5" s="116"/>
      <c r="W5" s="115"/>
      <c r="X5" s="115"/>
    </row>
    <row r="6" spans="1:24" ht="39" x14ac:dyDescent="0.25">
      <c r="A6" s="117" t="s">
        <v>363</v>
      </c>
      <c r="B6" s="116" t="s">
        <v>351</v>
      </c>
      <c r="C6" s="117">
        <v>1989</v>
      </c>
      <c r="D6" s="122">
        <v>1190</v>
      </c>
      <c r="E6" s="122">
        <v>1588</v>
      </c>
      <c r="F6" s="116">
        <v>0</v>
      </c>
      <c r="G6" s="116">
        <v>6</v>
      </c>
      <c r="H6" s="116">
        <v>0</v>
      </c>
      <c r="I6" s="117">
        <v>0</v>
      </c>
      <c r="J6" s="117">
        <f t="shared" si="0"/>
        <v>26.184000000000001</v>
      </c>
      <c r="K6" s="116">
        <v>81</v>
      </c>
      <c r="L6" s="116" t="s">
        <v>364</v>
      </c>
      <c r="M6" s="116" t="s">
        <v>339</v>
      </c>
      <c r="N6" s="116" t="s">
        <v>339</v>
      </c>
      <c r="O6" s="116" t="s">
        <v>339</v>
      </c>
      <c r="P6" s="116" t="s">
        <v>380</v>
      </c>
      <c r="Q6" s="116"/>
      <c r="R6" s="116"/>
      <c r="S6" s="116"/>
      <c r="T6" s="116"/>
      <c r="U6" s="116"/>
      <c r="V6" s="116"/>
      <c r="W6" s="115"/>
      <c r="X6" s="115"/>
    </row>
    <row r="7" spans="1:24" x14ac:dyDescent="0.25">
      <c r="A7" s="120" t="s">
        <v>363</v>
      </c>
      <c r="B7" s="119" t="s">
        <v>368</v>
      </c>
      <c r="C7" s="120">
        <v>2039</v>
      </c>
      <c r="D7" s="121">
        <v>1189</v>
      </c>
      <c r="E7" s="121">
        <v>1586</v>
      </c>
      <c r="F7" s="116">
        <v>0</v>
      </c>
      <c r="G7" s="116">
        <v>0</v>
      </c>
      <c r="H7" s="116">
        <v>0</v>
      </c>
      <c r="I7" s="117">
        <v>0</v>
      </c>
      <c r="J7" s="117">
        <f t="shared" si="0"/>
        <v>0</v>
      </c>
      <c r="K7" s="116">
        <v>82</v>
      </c>
      <c r="L7" s="116" t="s">
        <v>364</v>
      </c>
      <c r="M7" s="119"/>
      <c r="N7" s="119"/>
      <c r="O7" s="119"/>
      <c r="P7" s="119"/>
      <c r="Q7" s="116"/>
      <c r="R7" s="116"/>
      <c r="S7" s="116"/>
      <c r="T7" s="116"/>
      <c r="U7" s="116"/>
      <c r="V7" s="116"/>
      <c r="W7" s="115"/>
      <c r="X7" s="115"/>
    </row>
    <row r="8" spans="1:24" ht="26.25" x14ac:dyDescent="0.25">
      <c r="A8" s="120" t="s">
        <v>362</v>
      </c>
      <c r="B8" s="119" t="s">
        <v>399</v>
      </c>
      <c r="C8" s="120">
        <v>2014</v>
      </c>
      <c r="D8" s="121">
        <v>707</v>
      </c>
      <c r="E8" s="121"/>
      <c r="F8" s="116">
        <v>0</v>
      </c>
      <c r="G8" s="116">
        <v>0</v>
      </c>
      <c r="H8" s="116">
        <v>0</v>
      </c>
      <c r="I8" s="117">
        <v>0</v>
      </c>
      <c r="J8" s="117">
        <f t="shared" si="0"/>
        <v>0</v>
      </c>
      <c r="K8" s="116" t="s">
        <v>372</v>
      </c>
      <c r="L8" s="116" t="s">
        <v>365</v>
      </c>
      <c r="M8" s="119"/>
      <c r="N8" s="119"/>
      <c r="O8" s="119"/>
      <c r="P8" s="119"/>
      <c r="Q8" s="116"/>
      <c r="R8" s="116"/>
      <c r="S8" s="116"/>
      <c r="T8" s="116"/>
      <c r="U8" s="116"/>
      <c r="V8" s="116"/>
      <c r="W8" s="115"/>
      <c r="X8" s="115"/>
    </row>
    <row r="9" spans="1:24" ht="26.25" x14ac:dyDescent="0.25">
      <c r="A9" s="117" t="s">
        <v>362</v>
      </c>
      <c r="B9" s="116" t="s">
        <v>354</v>
      </c>
      <c r="C9" s="117">
        <v>1892</v>
      </c>
      <c r="D9" s="123" t="s">
        <v>400</v>
      </c>
      <c r="E9" s="123" t="s">
        <v>401</v>
      </c>
      <c r="F9" s="116">
        <v>1</v>
      </c>
      <c r="G9" s="116">
        <v>18</v>
      </c>
      <c r="H9" s="116">
        <v>3</v>
      </c>
      <c r="I9" s="117">
        <v>1</v>
      </c>
      <c r="J9" s="117">
        <v>65.477000000000004</v>
      </c>
      <c r="K9" s="116">
        <v>14</v>
      </c>
      <c r="L9" s="116" t="s">
        <v>364</v>
      </c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5"/>
      <c r="X9" s="115"/>
    </row>
    <row r="11" spans="1:24" x14ac:dyDescent="0.25">
      <c r="A11" s="126" t="s">
        <v>414</v>
      </c>
      <c r="B11" s="90">
        <v>0.21820000000000001</v>
      </c>
    </row>
    <row r="14" spans="1:24" ht="30" x14ac:dyDescent="0.25">
      <c r="A14" t="s">
        <v>368</v>
      </c>
      <c r="B14" s="60" t="s">
        <v>416</v>
      </c>
    </row>
  </sheetData>
  <mergeCells count="1">
    <mergeCell ref="M1:P1"/>
  </mergeCells>
  <pageMargins left="0.25" right="0.25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pane xSplit="10" ySplit="2" topLeftCell="L19" activePane="bottomRight" state="frozen"/>
      <selection pane="topRight" activeCell="L1" sqref="L1"/>
      <selection pane="bottomLeft" activeCell="A3" sqref="A3"/>
      <selection pane="bottomRight" activeCell="M31" sqref="M31"/>
    </sheetView>
  </sheetViews>
  <sheetFormatPr defaultRowHeight="15" x14ac:dyDescent="0.25"/>
  <cols>
    <col min="1" max="1" width="21.42578125" bestFit="1" customWidth="1"/>
    <col min="2" max="2" width="10" bestFit="1" customWidth="1"/>
    <col min="3" max="3" width="15.7109375" customWidth="1"/>
    <col min="13" max="13" width="15.7109375" bestFit="1" customWidth="1"/>
    <col min="14" max="14" width="15.140625" bestFit="1" customWidth="1"/>
    <col min="15" max="15" width="15.7109375" bestFit="1" customWidth="1"/>
    <col min="16" max="16" width="16.28515625" bestFit="1" customWidth="1"/>
  </cols>
  <sheetData>
    <row r="1" spans="1:16" x14ac:dyDescent="0.25">
      <c r="A1" s="1" t="s">
        <v>124</v>
      </c>
      <c r="B1" s="51"/>
      <c r="C1" s="110"/>
    </row>
    <row r="2" spans="1:16" x14ac:dyDescent="0.25">
      <c r="A2" s="84" t="s">
        <v>326</v>
      </c>
      <c r="B2" s="84" t="s">
        <v>0</v>
      </c>
      <c r="C2" s="1" t="s">
        <v>312</v>
      </c>
      <c r="D2" s="89" t="s">
        <v>303</v>
      </c>
      <c r="E2" s="89" t="s">
        <v>304</v>
      </c>
      <c r="F2" s="89" t="s">
        <v>305</v>
      </c>
      <c r="G2" s="89" t="s">
        <v>309</v>
      </c>
      <c r="H2" s="89"/>
      <c r="I2" s="89" t="s">
        <v>306</v>
      </c>
      <c r="J2" s="89" t="s">
        <v>307</v>
      </c>
      <c r="K2" s="89" t="s">
        <v>308</v>
      </c>
      <c r="M2" s="89" t="s">
        <v>374</v>
      </c>
      <c r="N2" s="89" t="s">
        <v>375</v>
      </c>
      <c r="O2" s="89" t="s">
        <v>376</v>
      </c>
      <c r="P2" s="89" t="s">
        <v>377</v>
      </c>
    </row>
    <row r="3" spans="1:16" x14ac:dyDescent="0.25">
      <c r="A3" s="50" t="s">
        <v>321</v>
      </c>
      <c r="B3" s="84"/>
      <c r="C3" s="1"/>
      <c r="D3" s="89"/>
      <c r="E3" s="89"/>
      <c r="F3" s="89"/>
      <c r="G3" s="89"/>
      <c r="H3" s="89"/>
      <c r="I3" s="89"/>
      <c r="J3" s="89"/>
      <c r="K3" s="89"/>
    </row>
    <row r="4" spans="1:16" x14ac:dyDescent="0.25">
      <c r="A4" s="55"/>
      <c r="B4">
        <v>1887</v>
      </c>
      <c r="C4">
        <v>7789</v>
      </c>
      <c r="J4" s="111">
        <v>0.02</v>
      </c>
      <c r="M4" s="140" t="s">
        <v>332</v>
      </c>
      <c r="N4" s="140" t="s">
        <v>120</v>
      </c>
      <c r="O4" s="140" t="s">
        <v>347</v>
      </c>
      <c r="P4" s="140" t="s">
        <v>333</v>
      </c>
    </row>
    <row r="5" spans="1:16" x14ac:dyDescent="0.25">
      <c r="A5" s="55"/>
      <c r="B5">
        <v>1887</v>
      </c>
      <c r="C5">
        <v>7790</v>
      </c>
      <c r="J5" s="111">
        <v>0.02</v>
      </c>
      <c r="M5" s="140"/>
      <c r="N5" s="140"/>
      <c r="O5" s="140"/>
      <c r="P5" s="140"/>
    </row>
    <row r="6" spans="1:16" x14ac:dyDescent="0.25">
      <c r="A6" s="55"/>
      <c r="B6">
        <v>1839</v>
      </c>
      <c r="C6">
        <v>7545</v>
      </c>
      <c r="J6" s="111" t="s">
        <v>316</v>
      </c>
      <c r="M6" t="s">
        <v>119</v>
      </c>
      <c r="N6" t="s">
        <v>333</v>
      </c>
      <c r="O6" t="s">
        <v>120</v>
      </c>
      <c r="P6" t="s">
        <v>334</v>
      </c>
    </row>
    <row r="7" spans="1:16" x14ac:dyDescent="0.25">
      <c r="A7" s="55"/>
      <c r="B7">
        <v>1777</v>
      </c>
      <c r="C7">
        <v>7546</v>
      </c>
      <c r="J7" s="111">
        <v>0.04</v>
      </c>
      <c r="M7" t="s">
        <v>335</v>
      </c>
      <c r="N7" t="s">
        <v>120</v>
      </c>
      <c r="O7" t="s">
        <v>347</v>
      </c>
      <c r="P7" t="s">
        <v>119</v>
      </c>
    </row>
    <row r="8" spans="1:16" x14ac:dyDescent="0.25">
      <c r="A8" s="103"/>
      <c r="B8" s="112">
        <v>1773</v>
      </c>
      <c r="C8">
        <v>7795</v>
      </c>
      <c r="J8" s="111" t="s">
        <v>317</v>
      </c>
      <c r="M8" t="s">
        <v>347</v>
      </c>
      <c r="N8" t="s">
        <v>333</v>
      </c>
      <c r="O8" t="s">
        <v>336</v>
      </c>
      <c r="P8" t="s">
        <v>120</v>
      </c>
    </row>
    <row r="9" spans="1:16" x14ac:dyDescent="0.25">
      <c r="A9" s="104"/>
      <c r="B9">
        <v>892</v>
      </c>
      <c r="C9">
        <v>1419</v>
      </c>
      <c r="J9" s="111" t="s">
        <v>318</v>
      </c>
      <c r="M9" t="s">
        <v>337</v>
      </c>
      <c r="N9" t="s">
        <v>337</v>
      </c>
      <c r="O9" t="s">
        <v>338</v>
      </c>
      <c r="P9" t="s">
        <v>119</v>
      </c>
    </row>
    <row r="10" spans="1:16" x14ac:dyDescent="0.25">
      <c r="A10" s="104"/>
      <c r="B10">
        <v>892</v>
      </c>
      <c r="C10">
        <v>1588</v>
      </c>
      <c r="J10" s="111" t="s">
        <v>319</v>
      </c>
      <c r="M10" t="s">
        <v>339</v>
      </c>
      <c r="N10" t="s">
        <v>119</v>
      </c>
      <c r="O10" t="s">
        <v>339</v>
      </c>
      <c r="P10" t="s">
        <v>340</v>
      </c>
    </row>
    <row r="11" spans="1:16" x14ac:dyDescent="0.25">
      <c r="A11" s="104"/>
      <c r="J11" s="111"/>
    </row>
    <row r="12" spans="1:16" x14ac:dyDescent="0.25">
      <c r="A12" s="50" t="s">
        <v>322</v>
      </c>
      <c r="J12" s="111"/>
    </row>
    <row r="13" spans="1:16" x14ac:dyDescent="0.25">
      <c r="B13">
        <v>1887</v>
      </c>
      <c r="C13">
        <v>7574</v>
      </c>
      <c r="J13" s="111" t="s">
        <v>320</v>
      </c>
      <c r="M13" t="s">
        <v>338</v>
      </c>
      <c r="N13" t="s">
        <v>341</v>
      </c>
      <c r="O13" t="s">
        <v>332</v>
      </c>
      <c r="P13" t="s">
        <v>333</v>
      </c>
    </row>
    <row r="14" spans="1:16" x14ac:dyDescent="0.25">
      <c r="B14">
        <v>1839</v>
      </c>
      <c r="C14">
        <v>7545</v>
      </c>
      <c r="J14" s="111" t="s">
        <v>316</v>
      </c>
      <c r="M14" t="s">
        <v>347</v>
      </c>
      <c r="N14" t="s">
        <v>346</v>
      </c>
      <c r="O14" t="s">
        <v>149</v>
      </c>
      <c r="P14" t="s">
        <v>334</v>
      </c>
    </row>
    <row r="15" spans="1:16" x14ac:dyDescent="0.25">
      <c r="B15">
        <v>1777</v>
      </c>
      <c r="C15">
        <v>7546</v>
      </c>
      <c r="J15" s="111">
        <v>0.04</v>
      </c>
      <c r="M15" t="s">
        <v>335</v>
      </c>
      <c r="N15" t="s">
        <v>149</v>
      </c>
      <c r="O15" t="s">
        <v>334</v>
      </c>
      <c r="P15" t="s">
        <v>335</v>
      </c>
    </row>
    <row r="16" spans="1:16" x14ac:dyDescent="0.25">
      <c r="B16">
        <v>892</v>
      </c>
      <c r="C16">
        <v>1419</v>
      </c>
      <c r="J16" s="111" t="s">
        <v>323</v>
      </c>
      <c r="M16" t="s">
        <v>337</v>
      </c>
      <c r="N16" t="s">
        <v>149</v>
      </c>
      <c r="O16" t="s">
        <v>342</v>
      </c>
      <c r="P16" t="s">
        <v>120</v>
      </c>
    </row>
    <row r="17" spans="1:16" x14ac:dyDescent="0.25">
      <c r="B17">
        <v>892</v>
      </c>
      <c r="C17">
        <v>1588</v>
      </c>
      <c r="J17" s="111" t="s">
        <v>324</v>
      </c>
      <c r="M17" t="s">
        <v>339</v>
      </c>
      <c r="N17" t="s">
        <v>120</v>
      </c>
      <c r="O17" t="s">
        <v>339</v>
      </c>
      <c r="P17" t="s">
        <v>149</v>
      </c>
    </row>
    <row r="19" spans="1:16" x14ac:dyDescent="0.25">
      <c r="A19" s="1" t="s">
        <v>325</v>
      </c>
    </row>
    <row r="20" spans="1:16" x14ac:dyDescent="0.25">
      <c r="B20">
        <v>1887</v>
      </c>
      <c r="C20">
        <v>7789</v>
      </c>
      <c r="J20" s="111">
        <v>0.04</v>
      </c>
      <c r="M20" t="s">
        <v>332</v>
      </c>
      <c r="N20" t="s">
        <v>343</v>
      </c>
      <c r="O20" t="s">
        <v>347</v>
      </c>
      <c r="P20" t="s">
        <v>149</v>
      </c>
    </row>
    <row r="21" spans="1:16" ht="45" customHeight="1" x14ac:dyDescent="0.25">
      <c r="B21">
        <v>1773</v>
      </c>
      <c r="C21">
        <v>7795</v>
      </c>
      <c r="J21" s="111">
        <v>0.01</v>
      </c>
      <c r="M21" s="141" t="s">
        <v>344</v>
      </c>
      <c r="N21" s="142" t="s">
        <v>149</v>
      </c>
      <c r="O21" s="142" t="s">
        <v>336</v>
      </c>
      <c r="P21" s="142" t="s">
        <v>345</v>
      </c>
    </row>
    <row r="22" spans="1:16" x14ac:dyDescent="0.25">
      <c r="B22">
        <v>1773</v>
      </c>
      <c r="C22">
        <v>7796</v>
      </c>
      <c r="J22" s="111" t="s">
        <v>327</v>
      </c>
      <c r="M22" s="141"/>
      <c r="N22" s="142"/>
      <c r="O22" s="142"/>
      <c r="P22" s="142"/>
    </row>
    <row r="23" spans="1:16" x14ac:dyDescent="0.25">
      <c r="B23">
        <v>1839</v>
      </c>
      <c r="C23">
        <v>7545</v>
      </c>
      <c r="J23" s="111" t="s">
        <v>316</v>
      </c>
      <c r="M23" t="s">
        <v>149</v>
      </c>
      <c r="N23" t="s">
        <v>346</v>
      </c>
      <c r="O23" t="s">
        <v>333</v>
      </c>
      <c r="P23" t="s">
        <v>334</v>
      </c>
    </row>
    <row r="24" spans="1:16" x14ac:dyDescent="0.25">
      <c r="B24">
        <v>1777</v>
      </c>
      <c r="C24">
        <v>7546</v>
      </c>
      <c r="J24" s="111">
        <v>0.04</v>
      </c>
      <c r="M24" t="s">
        <v>335</v>
      </c>
      <c r="N24" t="s">
        <v>346</v>
      </c>
      <c r="O24" t="s">
        <v>347</v>
      </c>
      <c r="P24" t="s">
        <v>149</v>
      </c>
    </row>
    <row r="25" spans="1:16" x14ac:dyDescent="0.25">
      <c r="B25">
        <v>892</v>
      </c>
      <c r="C25">
        <v>1419</v>
      </c>
      <c r="J25" s="111" t="s">
        <v>323</v>
      </c>
      <c r="M25" t="s">
        <v>337</v>
      </c>
      <c r="N25" t="s">
        <v>119</v>
      </c>
      <c r="O25" t="s">
        <v>342</v>
      </c>
      <c r="P25" t="s">
        <v>337</v>
      </c>
    </row>
    <row r="26" spans="1:16" x14ac:dyDescent="0.25">
      <c r="B26">
        <v>892</v>
      </c>
      <c r="C26">
        <v>1588</v>
      </c>
      <c r="J26" s="111" t="s">
        <v>324</v>
      </c>
      <c r="M26" t="s">
        <v>339</v>
      </c>
      <c r="N26" t="s">
        <v>339</v>
      </c>
      <c r="O26" t="s">
        <v>339</v>
      </c>
      <c r="P26" t="s">
        <v>120</v>
      </c>
    </row>
  </sheetData>
  <mergeCells count="8">
    <mergeCell ref="M4:M5"/>
    <mergeCell ref="O4:O5"/>
    <mergeCell ref="N4:N5"/>
    <mergeCell ref="P4:P5"/>
    <mergeCell ref="M21:M22"/>
    <mergeCell ref="O21:O22"/>
    <mergeCell ref="N21:N22"/>
    <mergeCell ref="P21:P2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opLeftCell="A5" workbookViewId="0">
      <selection activeCell="K3" sqref="K3"/>
    </sheetView>
  </sheetViews>
  <sheetFormatPr defaultRowHeight="15" x14ac:dyDescent="0.25"/>
  <cols>
    <col min="1" max="1" width="25.140625" bestFit="1" customWidth="1"/>
    <col min="2" max="2" width="9" bestFit="1" customWidth="1"/>
    <col min="3" max="3" width="15.140625" bestFit="1" customWidth="1"/>
    <col min="4" max="4" width="10" customWidth="1"/>
    <col min="7" max="7" width="12.140625" bestFit="1" customWidth="1"/>
    <col min="11" max="11" width="8.42578125" bestFit="1" customWidth="1"/>
    <col min="14" max="14" width="5.5703125" bestFit="1" customWidth="1"/>
    <col min="15" max="15" width="8" bestFit="1" customWidth="1"/>
    <col min="17" max="17" width="9.42578125" bestFit="1" customWidth="1"/>
  </cols>
  <sheetData>
    <row r="1" spans="1:17" x14ac:dyDescent="0.25">
      <c r="A1" s="82" t="s">
        <v>126</v>
      </c>
      <c r="B1" s="82"/>
      <c r="C1" s="143" t="s">
        <v>1</v>
      </c>
      <c r="D1" s="143"/>
    </row>
    <row r="2" spans="1:17" x14ac:dyDescent="0.25">
      <c r="A2" s="84" t="s">
        <v>118</v>
      </c>
      <c r="B2" s="84" t="s">
        <v>0</v>
      </c>
      <c r="C2" s="1" t="s">
        <v>11</v>
      </c>
      <c r="D2" s="84" t="s">
        <v>12</v>
      </c>
      <c r="E2" s="89" t="s">
        <v>303</v>
      </c>
      <c r="F2" s="89" t="s">
        <v>304</v>
      </c>
      <c r="G2" s="89" t="s">
        <v>305</v>
      </c>
      <c r="H2" s="89" t="s">
        <v>309</v>
      </c>
      <c r="I2" s="89"/>
      <c r="J2" s="89" t="s">
        <v>306</v>
      </c>
      <c r="K2" s="89" t="s">
        <v>307</v>
      </c>
      <c r="L2" s="89" t="s">
        <v>308</v>
      </c>
      <c r="N2" s="89" t="s">
        <v>328</v>
      </c>
      <c r="O2" s="89" t="s">
        <v>329</v>
      </c>
      <c r="P2" s="89" t="s">
        <v>330</v>
      </c>
      <c r="Q2" s="89" t="s">
        <v>331</v>
      </c>
    </row>
    <row r="3" spans="1:17" x14ac:dyDescent="0.25">
      <c r="A3" s="85" t="s">
        <v>141</v>
      </c>
      <c r="B3" s="83">
        <v>1887</v>
      </c>
      <c r="C3" s="113" t="s">
        <v>259</v>
      </c>
      <c r="D3" s="86">
        <v>871</v>
      </c>
      <c r="E3">
        <v>0</v>
      </c>
      <c r="F3">
        <v>1</v>
      </c>
      <c r="G3">
        <v>10</v>
      </c>
      <c r="J3" s="114">
        <f>(K3/' DISCUSSED WITH AMEEN'!I$15)</f>
        <v>6.5453454654534546E-2</v>
      </c>
      <c r="K3">
        <f>((E3*20)*20+F3*20+G3)*' DISCUSSED WITH AMEEN'!G$15</f>
        <v>6.5460000000000003</v>
      </c>
    </row>
    <row r="4" spans="1:17" x14ac:dyDescent="0.25">
      <c r="A4" s="85"/>
      <c r="B4" s="83"/>
      <c r="C4" s="86"/>
      <c r="D4" s="86"/>
      <c r="J4" s="114"/>
    </row>
    <row r="5" spans="1:17" x14ac:dyDescent="0.25">
      <c r="A5" s="85" t="s">
        <v>142</v>
      </c>
      <c r="B5" s="85" t="s">
        <v>310</v>
      </c>
      <c r="C5" s="85">
        <v>7576</v>
      </c>
      <c r="D5" s="85"/>
      <c r="E5">
        <v>0</v>
      </c>
      <c r="F5">
        <v>2</v>
      </c>
      <c r="G5">
        <v>0</v>
      </c>
      <c r="J5" s="114">
        <f>(K5/' DISCUSSED WITH AMEEN'!I$15)</f>
        <v>8.7271272872712718E-2</v>
      </c>
      <c r="K5">
        <f>((E5*20)*20+F5*20+G5)*' DISCUSSED WITH AMEEN'!G$15</f>
        <v>8.7279999999999998</v>
      </c>
    </row>
    <row r="6" spans="1:17" x14ac:dyDescent="0.25">
      <c r="A6" s="85"/>
      <c r="B6" s="85"/>
      <c r="C6" s="85"/>
      <c r="D6" s="85"/>
      <c r="J6" s="114"/>
    </row>
    <row r="7" spans="1:17" x14ac:dyDescent="0.25">
      <c r="A7" s="85" t="s">
        <v>144</v>
      </c>
      <c r="B7" s="83">
        <v>1867</v>
      </c>
      <c r="C7" s="100" t="s">
        <v>260</v>
      </c>
      <c r="D7" s="83"/>
      <c r="E7">
        <v>0</v>
      </c>
      <c r="F7">
        <v>1</v>
      </c>
      <c r="G7">
        <v>11</v>
      </c>
      <c r="H7">
        <v>56</v>
      </c>
      <c r="J7" s="114">
        <f>(K7/' DISCUSSED WITH AMEEN'!I$15)</f>
        <v>6.7635236476352362E-2</v>
      </c>
      <c r="K7">
        <f>((E7*20)*20+F7*20+G7)*' DISCUSSED WITH AMEEN'!G$15</f>
        <v>6.7641999999999998</v>
      </c>
    </row>
    <row r="8" spans="1:17" x14ac:dyDescent="0.25">
      <c r="A8" s="85"/>
      <c r="B8" s="83"/>
      <c r="C8" s="100" t="s">
        <v>263</v>
      </c>
      <c r="D8" s="83"/>
      <c r="J8" s="114"/>
    </row>
    <row r="9" spans="1:17" x14ac:dyDescent="0.25">
      <c r="A9" s="84"/>
      <c r="B9" s="84"/>
      <c r="C9" s="84"/>
      <c r="D9" s="84"/>
      <c r="F9" s="1"/>
      <c r="G9" s="1"/>
      <c r="J9" s="114"/>
    </row>
    <row r="10" spans="1:17" x14ac:dyDescent="0.25">
      <c r="A10" s="84"/>
      <c r="B10" s="84"/>
      <c r="C10" s="84"/>
      <c r="D10" s="84"/>
      <c r="J10" s="114"/>
    </row>
    <row r="11" spans="1:17" x14ac:dyDescent="0.25">
      <c r="A11" s="88" t="s">
        <v>267</v>
      </c>
      <c r="B11" s="88">
        <v>110</v>
      </c>
      <c r="C11" s="88">
        <v>7795</v>
      </c>
      <c r="D11" s="88"/>
      <c r="J11" s="114"/>
    </row>
    <row r="12" spans="1:17" x14ac:dyDescent="0.25">
      <c r="A12" s="84"/>
      <c r="B12" s="88">
        <v>110</v>
      </c>
      <c r="C12" s="88">
        <v>7796</v>
      </c>
      <c r="D12" s="88"/>
      <c r="E12">
        <v>0</v>
      </c>
      <c r="F12">
        <v>1</v>
      </c>
      <c r="G12">
        <v>3</v>
      </c>
      <c r="J12" s="114">
        <f>(K12/' DISCUSSED WITH AMEEN'!I$15)</f>
        <v>5.0180981901809821E-2</v>
      </c>
      <c r="K12">
        <f>((E12*20)*20+F12*20+G12)*' DISCUSSED WITH AMEEN'!G$15</f>
        <v>5.0186000000000002</v>
      </c>
    </row>
    <row r="13" spans="1:17" x14ac:dyDescent="0.25">
      <c r="A13" s="84"/>
      <c r="B13" s="84"/>
      <c r="C13" s="84"/>
      <c r="D13" s="84"/>
      <c r="F13" s="1"/>
      <c r="G13" s="1"/>
      <c r="J13" s="114"/>
    </row>
    <row r="14" spans="1:17" x14ac:dyDescent="0.25">
      <c r="A14" s="85"/>
      <c r="B14" s="85"/>
      <c r="C14" s="85"/>
      <c r="D14" s="85"/>
      <c r="J14" s="114"/>
    </row>
    <row r="15" spans="1:17" x14ac:dyDescent="0.25">
      <c r="A15" s="85" t="s">
        <v>311</v>
      </c>
      <c r="B15" s="101" t="s">
        <v>264</v>
      </c>
      <c r="C15" s="106">
        <v>792</v>
      </c>
      <c r="D15" s="87"/>
      <c r="E15">
        <v>1</v>
      </c>
      <c r="F15">
        <v>3</v>
      </c>
      <c r="G15">
        <v>3</v>
      </c>
      <c r="J15" s="114">
        <f>(K15/' DISCUSSED WITH AMEEN'!I$15)</f>
        <v>1.0101649835016497</v>
      </c>
      <c r="K15">
        <f>((E15*20)*20+F15*20+G15)*' DISCUSSED WITH AMEEN'!G$15</f>
        <v>101.0266</v>
      </c>
    </row>
    <row r="16" spans="1:17" x14ac:dyDescent="0.25">
      <c r="A16" s="85" t="s">
        <v>71</v>
      </c>
      <c r="B16" s="101" t="s">
        <v>264</v>
      </c>
      <c r="C16" s="106">
        <v>790</v>
      </c>
      <c r="D16" s="87"/>
      <c r="E16">
        <v>0</v>
      </c>
      <c r="F16">
        <v>12</v>
      </c>
      <c r="G16">
        <v>12</v>
      </c>
      <c r="J16" s="114">
        <f>(K16/' DISCUSSED WITH AMEEN'!I$15)</f>
        <v>0.54980901909809021</v>
      </c>
      <c r="K16">
        <f>((E16*20)*20+F16*20+G16)*' DISCUSSED WITH AMEEN'!G$15</f>
        <v>54.986400000000003</v>
      </c>
    </row>
    <row r="17" spans="1:11" x14ac:dyDescent="0.25">
      <c r="A17" s="84"/>
      <c r="B17" s="102"/>
      <c r="C17" s="107"/>
      <c r="D17" s="85"/>
      <c r="E17" s="1"/>
      <c r="F17" s="1"/>
      <c r="G17" s="1"/>
      <c r="J17" s="114"/>
    </row>
    <row r="18" spans="1:11" x14ac:dyDescent="0.25">
      <c r="A18" s="84"/>
      <c r="B18" s="102"/>
      <c r="C18" s="107"/>
      <c r="D18" s="85"/>
      <c r="J18" s="114"/>
    </row>
    <row r="19" spans="1:11" x14ac:dyDescent="0.25">
      <c r="A19" s="85" t="s">
        <v>100</v>
      </c>
      <c r="B19" s="101" t="s">
        <v>264</v>
      </c>
      <c r="C19" s="100" t="s">
        <v>265</v>
      </c>
      <c r="D19" s="83"/>
      <c r="E19">
        <v>0</v>
      </c>
      <c r="F19">
        <v>11</v>
      </c>
      <c r="G19">
        <v>14</v>
      </c>
      <c r="J19" s="114">
        <f>(K19/' DISCUSSED WITH AMEEN'!I$15)</f>
        <v>0.51053694630536939</v>
      </c>
      <c r="K19">
        <f>((E19*20)*20+F19*20+G19)*' DISCUSSED WITH AMEEN'!G$15</f>
        <v>51.058799999999998</v>
      </c>
    </row>
    <row r="20" spans="1:11" x14ac:dyDescent="0.25">
      <c r="A20" s="85"/>
      <c r="B20" s="101" t="s">
        <v>264</v>
      </c>
      <c r="C20" s="100" t="s">
        <v>266</v>
      </c>
      <c r="D20" s="83"/>
      <c r="E20">
        <v>0</v>
      </c>
      <c r="F20">
        <v>5</v>
      </c>
      <c r="G20">
        <v>1</v>
      </c>
      <c r="J20" s="114">
        <f>(K20/' DISCUSSED WITH AMEEN'!I$15)</f>
        <v>0.22035996400359964</v>
      </c>
      <c r="K20">
        <f>((E20*20)*20+F20*20+G20)*' DISCUSSED WITH AMEEN'!G$15</f>
        <v>22.0382</v>
      </c>
    </row>
    <row r="21" spans="1:11" x14ac:dyDescent="0.25">
      <c r="A21" s="85"/>
      <c r="B21" s="101"/>
      <c r="C21" s="83"/>
      <c r="D21" s="83"/>
      <c r="J21" s="114"/>
    </row>
    <row r="22" spans="1:11" x14ac:dyDescent="0.25">
      <c r="A22" s="84" t="s">
        <v>313</v>
      </c>
      <c r="B22" s="108"/>
      <c r="C22" s="109">
        <v>707</v>
      </c>
      <c r="D22" s="109"/>
      <c r="E22" s="1"/>
      <c r="F22" s="1">
        <v>4</v>
      </c>
      <c r="G22" s="1">
        <v>3</v>
      </c>
      <c r="J22" s="114">
        <f>(K22/' DISCUSSED WITH AMEEN'!I$15)</f>
        <v>0.18108789121087893</v>
      </c>
      <c r="K22">
        <f>((E22*20)*20+F22*20+G22)*' DISCUSSED WITH AMEEN'!G$15</f>
        <v>18.110600000000002</v>
      </c>
    </row>
    <row r="23" spans="1:11" x14ac:dyDescent="0.25">
      <c r="A23" s="84"/>
      <c r="B23" s="108"/>
      <c r="C23" s="109"/>
      <c r="D23" s="109"/>
      <c r="E23" s="1"/>
      <c r="F23" s="1"/>
      <c r="G23" s="1"/>
      <c r="J23" s="114"/>
    </row>
    <row r="24" spans="1:11" x14ac:dyDescent="0.25">
      <c r="A24" s="84" t="s">
        <v>314</v>
      </c>
      <c r="B24" s="108"/>
      <c r="C24" s="109"/>
      <c r="D24" s="109"/>
      <c r="E24">
        <v>3</v>
      </c>
      <c r="F24">
        <v>2</v>
      </c>
      <c r="G24">
        <v>17</v>
      </c>
      <c r="J24" s="114">
        <f>(K24/' DISCUSSED WITH AMEEN'!I$15)</f>
        <v>2.7424997500249972</v>
      </c>
      <c r="K24">
        <f>((E24*20)*20+F24*20+G24)*' DISCUSSED WITH AMEEN'!G$15</f>
        <v>274.2774</v>
      </c>
    </row>
    <row r="25" spans="1:11" x14ac:dyDescent="0.25">
      <c r="A25" s="85"/>
      <c r="B25" s="101"/>
      <c r="C25" s="83"/>
      <c r="D25" s="83"/>
      <c r="J25" s="114"/>
    </row>
    <row r="26" spans="1:11" x14ac:dyDescent="0.25">
      <c r="A26" s="84" t="s">
        <v>315</v>
      </c>
      <c r="B26" s="84"/>
      <c r="C26" s="85"/>
      <c r="D26" s="85"/>
      <c r="E26" s="1">
        <v>2</v>
      </c>
      <c r="F26" s="1">
        <v>18</v>
      </c>
      <c r="G26" s="1">
        <v>14</v>
      </c>
      <c r="J26" s="114">
        <f>(K26/' DISCUSSED WITH AMEEN'!I$15)</f>
        <v>2.5614118588141186</v>
      </c>
      <c r="K26">
        <f>((E26*20)*20+F26*20+G26)*' DISCUSSED WITH AMEEN'!G$15</f>
        <v>256.16680000000002</v>
      </c>
    </row>
  </sheetData>
  <mergeCells count="1">
    <mergeCell ref="C1:D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E5" sqref="E5"/>
    </sheetView>
  </sheetViews>
  <sheetFormatPr defaultRowHeight="15" x14ac:dyDescent="0.25"/>
  <cols>
    <col min="1" max="1" width="19.7109375" bestFit="1" customWidth="1"/>
    <col min="2" max="2" width="19.7109375" customWidth="1"/>
    <col min="3" max="3" width="10" bestFit="1" customWidth="1"/>
    <col min="4" max="4" width="29.42578125" bestFit="1" customWidth="1"/>
  </cols>
  <sheetData>
    <row r="1" spans="1:4" x14ac:dyDescent="0.25">
      <c r="A1" s="144" t="s">
        <v>125</v>
      </c>
      <c r="B1" s="144"/>
      <c r="C1" s="144"/>
      <c r="D1" s="144"/>
    </row>
    <row r="2" spans="1:4" x14ac:dyDescent="0.25">
      <c r="A2" s="84" t="s">
        <v>118</v>
      </c>
      <c r="B2" s="84" t="s">
        <v>280</v>
      </c>
      <c r="C2" s="84" t="s">
        <v>1</v>
      </c>
      <c r="D2" s="84" t="s">
        <v>5</v>
      </c>
    </row>
    <row r="3" spans="1:4" x14ac:dyDescent="0.25">
      <c r="A3" s="85" t="s">
        <v>134</v>
      </c>
      <c r="B3" s="85"/>
      <c r="C3" s="87" t="s">
        <v>140</v>
      </c>
      <c r="D3" s="85" t="s">
        <v>68</v>
      </c>
    </row>
    <row r="4" spans="1:4" x14ac:dyDescent="0.25">
      <c r="A4" s="85" t="s">
        <v>135</v>
      </c>
      <c r="B4" s="85"/>
      <c r="C4" s="87">
        <v>126</v>
      </c>
      <c r="D4" s="85" t="s">
        <v>136</v>
      </c>
    </row>
    <row r="5" spans="1:4" x14ac:dyDescent="0.25">
      <c r="A5" s="84" t="s">
        <v>103</v>
      </c>
      <c r="B5" s="84"/>
      <c r="C5" s="84"/>
      <c r="D5" s="84" t="s">
        <v>286</v>
      </c>
    </row>
    <row r="6" spans="1:4" x14ac:dyDescent="0.25">
      <c r="A6" s="84"/>
      <c r="B6" s="84"/>
      <c r="C6" s="84"/>
      <c r="D6" s="84"/>
    </row>
    <row r="7" spans="1:4" x14ac:dyDescent="0.25">
      <c r="A7" s="85" t="s">
        <v>279</v>
      </c>
      <c r="B7" s="85"/>
      <c r="C7" s="87"/>
      <c r="D7" s="85" t="s">
        <v>74</v>
      </c>
    </row>
    <row r="8" spans="1:4" x14ac:dyDescent="0.25">
      <c r="A8" s="85" t="s">
        <v>48</v>
      </c>
      <c r="B8" s="85"/>
      <c r="C8" s="85"/>
      <c r="D8" s="85" t="s">
        <v>285</v>
      </c>
    </row>
    <row r="9" spans="1:4" x14ac:dyDescent="0.25">
      <c r="A9" t="s">
        <v>177</v>
      </c>
      <c r="B9" s="85"/>
      <c r="C9" s="85"/>
      <c r="D9" s="85"/>
    </row>
    <row r="10" spans="1:4" x14ac:dyDescent="0.25">
      <c r="A10" t="s">
        <v>281</v>
      </c>
      <c r="B10" s="85"/>
      <c r="C10" t="s">
        <v>170</v>
      </c>
      <c r="D10" s="85"/>
    </row>
    <row r="11" spans="1:4" x14ac:dyDescent="0.25">
      <c r="A11" s="85" t="s">
        <v>75</v>
      </c>
      <c r="B11" s="85">
        <v>2014</v>
      </c>
      <c r="C11" s="92">
        <v>1246</v>
      </c>
      <c r="D11" s="93" t="s">
        <v>74</v>
      </c>
    </row>
    <row r="12" spans="1:4" x14ac:dyDescent="0.25">
      <c r="A12" s="85" t="s">
        <v>75</v>
      </c>
      <c r="B12" s="85">
        <v>2014</v>
      </c>
      <c r="C12" s="92">
        <v>1248</v>
      </c>
      <c r="D12" s="93" t="s">
        <v>76</v>
      </c>
    </row>
    <row r="13" spans="1:4" x14ac:dyDescent="0.25">
      <c r="A13" s="85" t="s">
        <v>75</v>
      </c>
      <c r="B13" s="85">
        <v>1993</v>
      </c>
      <c r="C13" s="92">
        <v>1247</v>
      </c>
      <c r="D13" s="93" t="s">
        <v>77</v>
      </c>
    </row>
    <row r="14" spans="1:4" x14ac:dyDescent="0.25">
      <c r="A14" s="85" t="s">
        <v>75</v>
      </c>
      <c r="B14" s="85">
        <v>2033</v>
      </c>
      <c r="C14" s="92">
        <v>1249</v>
      </c>
      <c r="D14" s="93" t="s">
        <v>78</v>
      </c>
    </row>
    <row r="15" spans="1:4" x14ac:dyDescent="0.25">
      <c r="A15" s="89" t="s">
        <v>284</v>
      </c>
      <c r="B15" s="85"/>
      <c r="C15" s="92"/>
      <c r="D15" s="94" t="s">
        <v>283</v>
      </c>
    </row>
    <row r="16" spans="1:4" x14ac:dyDescent="0.25">
      <c r="A16" s="85"/>
      <c r="B16" s="85"/>
      <c r="C16" s="92"/>
      <c r="D16" s="94"/>
    </row>
    <row r="17" spans="1:4" x14ac:dyDescent="0.25">
      <c r="A17" s="85" t="s">
        <v>73</v>
      </c>
      <c r="B17" s="85">
        <v>2014</v>
      </c>
      <c r="C17" s="92">
        <v>707</v>
      </c>
      <c r="D17" s="95" t="s">
        <v>72</v>
      </c>
    </row>
    <row r="18" spans="1:4" x14ac:dyDescent="0.25">
      <c r="A18" s="85" t="s">
        <v>69</v>
      </c>
      <c r="B18" s="85">
        <v>2014</v>
      </c>
      <c r="C18" s="92">
        <v>1179</v>
      </c>
      <c r="D18" s="93" t="s">
        <v>68</v>
      </c>
    </row>
    <row r="19" spans="1:4" x14ac:dyDescent="0.25">
      <c r="A19" t="s">
        <v>178</v>
      </c>
      <c r="D19" t="s">
        <v>282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4"/>
  <sheetViews>
    <sheetView topLeftCell="A36" workbookViewId="0">
      <selection activeCell="D50" sqref="D50:D51"/>
    </sheetView>
  </sheetViews>
  <sheetFormatPr defaultRowHeight="15" x14ac:dyDescent="0.25"/>
  <cols>
    <col min="2" max="2" width="30" style="3" bestFit="1" customWidth="1"/>
    <col min="3" max="3" width="20" style="3" bestFit="1" customWidth="1"/>
    <col min="4" max="4" width="20.7109375" customWidth="1"/>
    <col min="5" max="5" width="9.140625" style="3"/>
    <col min="6" max="6" width="31.7109375" bestFit="1" customWidth="1"/>
  </cols>
  <sheetData>
    <row r="1" spans="1:6" x14ac:dyDescent="0.25">
      <c r="A1" s="129">
        <v>1</v>
      </c>
      <c r="B1" t="s">
        <v>6</v>
      </c>
      <c r="C1" s="12" t="s">
        <v>10</v>
      </c>
      <c r="D1" s="7">
        <v>1993</v>
      </c>
      <c r="E1" s="69" t="s">
        <v>7</v>
      </c>
      <c r="F1" s="35" t="s">
        <v>13</v>
      </c>
    </row>
    <row r="2" spans="1:6" x14ac:dyDescent="0.25">
      <c r="A2" s="129"/>
      <c r="B2" t="s">
        <v>6</v>
      </c>
      <c r="C2" s="12"/>
      <c r="D2" s="7">
        <v>1993</v>
      </c>
      <c r="E2" s="35">
        <v>7529</v>
      </c>
      <c r="F2" s="35" t="s">
        <v>8</v>
      </c>
    </row>
    <row r="3" spans="1:6" x14ac:dyDescent="0.25">
      <c r="A3" s="129"/>
      <c r="B3" t="s">
        <v>6</v>
      </c>
      <c r="C3" s="12"/>
      <c r="D3" s="7">
        <v>1993</v>
      </c>
      <c r="E3" s="35">
        <v>7530</v>
      </c>
      <c r="F3" s="35" t="s">
        <v>14</v>
      </c>
    </row>
    <row r="4" spans="1:6" ht="30" x14ac:dyDescent="0.25">
      <c r="A4" s="129"/>
      <c r="B4" t="s">
        <v>6</v>
      </c>
      <c r="C4" s="12"/>
      <c r="D4" s="7">
        <v>1993</v>
      </c>
      <c r="E4" s="12"/>
      <c r="F4" s="36" t="s">
        <v>15</v>
      </c>
    </row>
    <row r="5" spans="1:6" x14ac:dyDescent="0.25">
      <c r="A5" s="11">
        <v>2</v>
      </c>
      <c r="B5" s="12" t="s">
        <v>22</v>
      </c>
      <c r="C5" s="12" t="s">
        <v>25</v>
      </c>
      <c r="D5" s="7">
        <v>2034</v>
      </c>
      <c r="E5" s="35">
        <v>7792</v>
      </c>
      <c r="F5" s="12" t="s">
        <v>24</v>
      </c>
    </row>
    <row r="6" spans="1:6" x14ac:dyDescent="0.25">
      <c r="A6" s="130">
        <v>3</v>
      </c>
      <c r="B6" s="67" t="s">
        <v>33</v>
      </c>
      <c r="C6" s="67" t="s">
        <v>98</v>
      </c>
      <c r="D6" s="145">
        <v>1867</v>
      </c>
      <c r="E6" s="70">
        <v>7576</v>
      </c>
      <c r="F6" s="12" t="s">
        <v>28</v>
      </c>
    </row>
    <row r="7" spans="1:6" x14ac:dyDescent="0.25">
      <c r="A7" s="130"/>
      <c r="B7" s="67" t="s">
        <v>33</v>
      </c>
      <c r="C7" s="67" t="s">
        <v>98</v>
      </c>
      <c r="D7" s="145"/>
      <c r="E7" s="70">
        <v>7577</v>
      </c>
      <c r="F7" s="12" t="s">
        <v>8</v>
      </c>
    </row>
    <row r="8" spans="1:6" ht="30" x14ac:dyDescent="0.25">
      <c r="A8" s="11"/>
      <c r="B8" s="67" t="s">
        <v>33</v>
      </c>
      <c r="C8" s="67"/>
      <c r="D8" s="7"/>
      <c r="E8" s="35"/>
      <c r="F8" s="36" t="s">
        <v>29</v>
      </c>
    </row>
    <row r="9" spans="1:6" x14ac:dyDescent="0.25">
      <c r="A9" s="11">
        <v>3</v>
      </c>
      <c r="B9" s="67" t="s">
        <v>33</v>
      </c>
      <c r="C9" s="12" t="s">
        <v>32</v>
      </c>
      <c r="D9" s="7">
        <v>1777</v>
      </c>
      <c r="E9" s="35">
        <v>7546</v>
      </c>
      <c r="F9" s="12" t="s">
        <v>30</v>
      </c>
    </row>
    <row r="10" spans="1:6" x14ac:dyDescent="0.25">
      <c r="A10" s="11">
        <v>3</v>
      </c>
      <c r="B10" s="67" t="s">
        <v>33</v>
      </c>
      <c r="C10" s="12" t="s">
        <v>32</v>
      </c>
      <c r="D10" s="7">
        <v>1839</v>
      </c>
      <c r="E10" s="35">
        <v>7545</v>
      </c>
      <c r="F10" s="12" t="s">
        <v>13</v>
      </c>
    </row>
    <row r="11" spans="1:6" ht="30" x14ac:dyDescent="0.25">
      <c r="A11" s="11">
        <v>3</v>
      </c>
      <c r="B11" s="67" t="s">
        <v>33</v>
      </c>
      <c r="C11" s="12"/>
      <c r="D11" s="6"/>
      <c r="E11" s="12"/>
      <c r="F11" s="36" t="s">
        <v>31</v>
      </c>
    </row>
    <row r="12" spans="1:6" x14ac:dyDescent="0.25">
      <c r="A12" s="11">
        <v>4</v>
      </c>
      <c r="B12" s="12" t="s">
        <v>56</v>
      </c>
      <c r="C12" s="12" t="s">
        <v>35</v>
      </c>
      <c r="D12" s="7">
        <v>1886</v>
      </c>
      <c r="E12" s="35">
        <v>7566</v>
      </c>
      <c r="F12" s="35" t="s">
        <v>8</v>
      </c>
    </row>
    <row r="13" spans="1:6" x14ac:dyDescent="0.25">
      <c r="A13" s="11">
        <v>4</v>
      </c>
      <c r="B13" s="12" t="s">
        <v>56</v>
      </c>
      <c r="C13" s="12" t="s">
        <v>35</v>
      </c>
      <c r="D13" s="7">
        <v>1886</v>
      </c>
      <c r="E13" s="35">
        <v>7572</v>
      </c>
      <c r="F13" s="12" t="s">
        <v>24</v>
      </c>
    </row>
    <row r="14" spans="1:6" x14ac:dyDescent="0.25">
      <c r="A14" s="11">
        <v>4</v>
      </c>
      <c r="B14" s="12" t="s">
        <v>56</v>
      </c>
      <c r="C14" s="12" t="s">
        <v>35</v>
      </c>
      <c r="D14" s="7">
        <v>1886</v>
      </c>
      <c r="E14" s="35" t="s">
        <v>38</v>
      </c>
      <c r="F14" s="12" t="s">
        <v>36</v>
      </c>
    </row>
    <row r="15" spans="1:6" x14ac:dyDescent="0.25">
      <c r="A15" s="11">
        <v>4</v>
      </c>
      <c r="B15" s="12" t="s">
        <v>56</v>
      </c>
      <c r="C15" s="12" t="s">
        <v>35</v>
      </c>
      <c r="D15" s="7">
        <v>1886</v>
      </c>
      <c r="E15" s="35">
        <v>7586</v>
      </c>
      <c r="F15" s="12" t="s">
        <v>37</v>
      </c>
    </row>
    <row r="16" spans="1:6" x14ac:dyDescent="0.25">
      <c r="A16" s="11">
        <v>4</v>
      </c>
      <c r="B16" s="12" t="s">
        <v>56</v>
      </c>
      <c r="C16" s="12" t="s">
        <v>35</v>
      </c>
      <c r="D16" s="7">
        <v>1886</v>
      </c>
      <c r="E16" s="35">
        <v>7574</v>
      </c>
      <c r="F16" s="12" t="s">
        <v>24</v>
      </c>
    </row>
    <row r="17" spans="1:6" ht="30" x14ac:dyDescent="0.25">
      <c r="A17" s="11">
        <v>4</v>
      </c>
      <c r="B17" s="12"/>
      <c r="C17" s="12"/>
      <c r="D17" s="6"/>
      <c r="E17" s="12"/>
      <c r="F17" s="36" t="s">
        <v>39</v>
      </c>
    </row>
    <row r="18" spans="1:6" x14ac:dyDescent="0.25">
      <c r="A18" s="11">
        <v>5</v>
      </c>
      <c r="B18" s="12" t="s">
        <v>45</v>
      </c>
      <c r="C18" s="12"/>
      <c r="D18" s="12">
        <v>1773</v>
      </c>
      <c r="E18" s="12">
        <v>7794</v>
      </c>
      <c r="F18" s="12" t="s">
        <v>43</v>
      </c>
    </row>
    <row r="19" spans="1:6" x14ac:dyDescent="0.25">
      <c r="A19" s="11">
        <v>5</v>
      </c>
      <c r="B19" s="12" t="s">
        <v>45</v>
      </c>
      <c r="C19" s="12"/>
      <c r="D19" s="12">
        <v>1773</v>
      </c>
      <c r="E19" s="12">
        <v>7796</v>
      </c>
      <c r="F19" s="12" t="s">
        <v>44</v>
      </c>
    </row>
    <row r="20" spans="1:6" x14ac:dyDescent="0.25">
      <c r="A20" s="11">
        <v>5</v>
      </c>
      <c r="B20" s="12" t="s">
        <v>45</v>
      </c>
      <c r="C20" s="12"/>
      <c r="D20" s="12"/>
      <c r="E20" s="12"/>
      <c r="F20" s="34" t="s">
        <v>50</v>
      </c>
    </row>
    <row r="21" spans="1:6" x14ac:dyDescent="0.25">
      <c r="A21" s="11"/>
      <c r="B21" s="12"/>
      <c r="C21" s="12"/>
      <c r="D21" s="12"/>
      <c r="E21" s="12"/>
      <c r="F21" s="34"/>
    </row>
    <row r="22" spans="1:6" x14ac:dyDescent="0.25">
      <c r="A22" s="11">
        <v>6</v>
      </c>
      <c r="B22" s="12" t="s">
        <v>48</v>
      </c>
      <c r="C22" s="12"/>
      <c r="D22" s="12">
        <v>1892</v>
      </c>
      <c r="E22" s="12">
        <v>1007</v>
      </c>
      <c r="F22" s="34" t="s">
        <v>47</v>
      </c>
    </row>
    <row r="23" spans="1:6" x14ac:dyDescent="0.25">
      <c r="A23" s="11"/>
      <c r="B23" s="12"/>
      <c r="C23" s="12"/>
      <c r="D23" s="12"/>
      <c r="E23" s="12"/>
      <c r="F23" s="12"/>
    </row>
    <row r="24" spans="1:6" x14ac:dyDescent="0.25">
      <c r="A24" s="11">
        <v>7</v>
      </c>
      <c r="B24" s="12" t="s">
        <v>55</v>
      </c>
      <c r="C24" s="12"/>
      <c r="D24" s="12">
        <v>1796</v>
      </c>
      <c r="E24" s="12">
        <v>7637</v>
      </c>
      <c r="F24" s="12" t="s">
        <v>51</v>
      </c>
    </row>
    <row r="25" spans="1:6" x14ac:dyDescent="0.25">
      <c r="A25" s="11">
        <v>7</v>
      </c>
      <c r="B25" s="12" t="s">
        <v>55</v>
      </c>
      <c r="C25" s="12"/>
      <c r="D25" s="12">
        <v>1796</v>
      </c>
      <c r="E25" s="12">
        <v>7641</v>
      </c>
      <c r="F25" s="12" t="s">
        <v>36</v>
      </c>
    </row>
    <row r="26" spans="1:6" x14ac:dyDescent="0.25">
      <c r="A26" s="11">
        <v>7</v>
      </c>
      <c r="B26" s="12" t="s">
        <v>55</v>
      </c>
      <c r="C26" s="12"/>
      <c r="D26" s="12">
        <v>1796</v>
      </c>
      <c r="E26" s="65">
        <v>7642</v>
      </c>
      <c r="F26" s="65" t="s">
        <v>52</v>
      </c>
    </row>
    <row r="27" spans="1:6" x14ac:dyDescent="0.25">
      <c r="A27" s="11">
        <v>7</v>
      </c>
      <c r="B27" s="12" t="s">
        <v>55</v>
      </c>
      <c r="C27" s="12"/>
      <c r="D27" s="12">
        <v>1872</v>
      </c>
      <c r="E27" s="12">
        <v>7643</v>
      </c>
      <c r="F27" s="12" t="s">
        <v>37</v>
      </c>
    </row>
    <row r="28" spans="1:6" x14ac:dyDescent="0.25">
      <c r="A28" s="11">
        <v>7</v>
      </c>
      <c r="B28" s="12" t="s">
        <v>55</v>
      </c>
      <c r="C28" s="12"/>
      <c r="D28" s="12">
        <v>1872</v>
      </c>
      <c r="E28" s="12">
        <v>7644</v>
      </c>
      <c r="F28" s="12" t="s">
        <v>43</v>
      </c>
    </row>
    <row r="29" spans="1:6" x14ac:dyDescent="0.25">
      <c r="A29" s="11">
        <v>7</v>
      </c>
      <c r="B29" s="12"/>
      <c r="C29" s="12"/>
      <c r="D29" s="12"/>
      <c r="E29" s="12"/>
      <c r="F29" s="34" t="s">
        <v>53</v>
      </c>
    </row>
    <row r="30" spans="1:6" x14ac:dyDescent="0.25">
      <c r="A30" s="11">
        <v>8</v>
      </c>
      <c r="B30" s="12" t="s">
        <v>59</v>
      </c>
      <c r="C30" s="12"/>
      <c r="D30" s="12">
        <v>1887</v>
      </c>
      <c r="E30" s="12">
        <v>7789</v>
      </c>
      <c r="F30" s="12" t="s">
        <v>57</v>
      </c>
    </row>
    <row r="31" spans="1:6" x14ac:dyDescent="0.25">
      <c r="A31" s="11">
        <v>8</v>
      </c>
      <c r="B31" s="12" t="s">
        <v>59</v>
      </c>
      <c r="C31" s="12"/>
      <c r="D31" s="12">
        <v>1887</v>
      </c>
      <c r="E31" s="12">
        <v>7790</v>
      </c>
      <c r="F31" s="12" t="s">
        <v>8</v>
      </c>
    </row>
    <row r="32" spans="1:6" x14ac:dyDescent="0.25">
      <c r="A32" s="11"/>
      <c r="B32" s="12"/>
      <c r="C32" s="12"/>
      <c r="D32" s="6"/>
      <c r="E32" s="12"/>
      <c r="F32" s="64" t="s">
        <v>58</v>
      </c>
    </row>
    <row r="33" spans="1:6" x14ac:dyDescent="0.25">
      <c r="A33" s="11">
        <v>1</v>
      </c>
      <c r="B33" s="12" t="s">
        <v>100</v>
      </c>
      <c r="C33" s="12"/>
      <c r="D33" s="12">
        <v>2014</v>
      </c>
      <c r="E33" s="12">
        <v>735</v>
      </c>
      <c r="F33" s="12" t="s">
        <v>63</v>
      </c>
    </row>
    <row r="34" spans="1:6" x14ac:dyDescent="0.25">
      <c r="A34" s="11">
        <v>1</v>
      </c>
      <c r="B34" s="12" t="s">
        <v>100</v>
      </c>
      <c r="C34" s="12"/>
      <c r="D34" s="12">
        <v>2014</v>
      </c>
      <c r="E34" s="12">
        <v>7445</v>
      </c>
      <c r="F34" s="12" t="s">
        <v>64</v>
      </c>
    </row>
    <row r="35" spans="1:6" x14ac:dyDescent="0.25">
      <c r="A35" s="11"/>
      <c r="B35" s="12"/>
      <c r="C35" s="12"/>
      <c r="D35" s="12"/>
      <c r="E35" s="12"/>
      <c r="F35" s="34" t="s">
        <v>65</v>
      </c>
    </row>
    <row r="36" spans="1:6" x14ac:dyDescent="0.25">
      <c r="A36" s="11">
        <v>2</v>
      </c>
      <c r="B36" s="12" t="s">
        <v>67</v>
      </c>
      <c r="C36" s="12"/>
      <c r="D36" s="12">
        <v>2014</v>
      </c>
      <c r="E36" s="12">
        <v>792</v>
      </c>
      <c r="F36" s="12" t="s">
        <v>66</v>
      </c>
    </row>
    <row r="37" spans="1:6" x14ac:dyDescent="0.25">
      <c r="A37" s="11">
        <v>3</v>
      </c>
      <c r="B37" s="12" t="s">
        <v>69</v>
      </c>
      <c r="C37" s="12"/>
      <c r="D37" s="12">
        <v>2014</v>
      </c>
      <c r="E37" s="12">
        <v>1179</v>
      </c>
      <c r="F37" s="12" t="s">
        <v>68</v>
      </c>
    </row>
    <row r="38" spans="1:6" x14ac:dyDescent="0.25">
      <c r="A38" s="11">
        <v>4</v>
      </c>
      <c r="B38" s="12" t="s">
        <v>71</v>
      </c>
      <c r="C38" s="12"/>
      <c r="D38" s="12">
        <v>2014</v>
      </c>
      <c r="E38" s="12">
        <v>790</v>
      </c>
      <c r="F38" s="12" t="s">
        <v>70</v>
      </c>
    </row>
    <row r="39" spans="1:6" ht="15.75" thickBot="1" x14ac:dyDescent="0.3">
      <c r="A39" s="15">
        <v>5</v>
      </c>
      <c r="B39" s="38" t="s">
        <v>73</v>
      </c>
      <c r="C39" s="38"/>
      <c r="D39" s="38">
        <v>2014</v>
      </c>
      <c r="E39" s="38">
        <v>707</v>
      </c>
      <c r="F39" s="38" t="s">
        <v>72</v>
      </c>
    </row>
    <row r="40" spans="1:6" x14ac:dyDescent="0.25">
      <c r="A40" s="19">
        <v>6</v>
      </c>
      <c r="B40" s="39" t="s">
        <v>75</v>
      </c>
      <c r="C40" s="39"/>
      <c r="D40" s="39">
        <v>2014</v>
      </c>
      <c r="E40" s="39">
        <v>1246</v>
      </c>
      <c r="F40" s="39" t="s">
        <v>74</v>
      </c>
    </row>
    <row r="41" spans="1:6" x14ac:dyDescent="0.25">
      <c r="A41" s="22">
        <v>7</v>
      </c>
      <c r="B41" s="12" t="s">
        <v>75</v>
      </c>
      <c r="C41" s="12"/>
      <c r="D41" s="12">
        <v>2014</v>
      </c>
      <c r="E41" s="12">
        <v>1248</v>
      </c>
      <c r="F41" s="12" t="s">
        <v>76</v>
      </c>
    </row>
    <row r="42" spans="1:6" x14ac:dyDescent="0.25">
      <c r="A42" s="22">
        <v>8</v>
      </c>
      <c r="B42" s="12" t="s">
        <v>75</v>
      </c>
      <c r="C42" s="12"/>
      <c r="D42" s="12">
        <v>1993</v>
      </c>
      <c r="E42" s="12">
        <v>1247</v>
      </c>
      <c r="F42" s="12" t="s">
        <v>77</v>
      </c>
    </row>
    <row r="43" spans="1:6" x14ac:dyDescent="0.25">
      <c r="A43" s="22">
        <v>9</v>
      </c>
      <c r="B43" s="12" t="s">
        <v>75</v>
      </c>
      <c r="C43" s="12"/>
      <c r="D43" s="12">
        <v>2033</v>
      </c>
      <c r="E43" s="12">
        <v>1249</v>
      </c>
      <c r="F43" s="12" t="s">
        <v>78</v>
      </c>
    </row>
    <row r="44" spans="1:6" ht="15.75" thickBot="1" x14ac:dyDescent="0.3">
      <c r="A44" s="23"/>
      <c r="B44" s="68"/>
      <c r="C44" s="68"/>
      <c r="D44" s="68"/>
      <c r="E44" s="68"/>
      <c r="F44" s="40" t="s">
        <v>79</v>
      </c>
    </row>
    <row r="45" spans="1:6" x14ac:dyDescent="0.25">
      <c r="A45" s="11">
        <v>10</v>
      </c>
      <c r="B45" s="65" t="s">
        <v>97</v>
      </c>
      <c r="C45" s="12"/>
      <c r="D45" s="12">
        <v>2034</v>
      </c>
      <c r="E45" s="12">
        <v>7792</v>
      </c>
      <c r="F45" s="12" t="s">
        <v>82</v>
      </c>
    </row>
    <row r="46" spans="1:6" x14ac:dyDescent="0.25">
      <c r="A46" s="11">
        <v>11</v>
      </c>
      <c r="B46" s="12" t="s">
        <v>83</v>
      </c>
      <c r="C46" s="12"/>
      <c r="D46" s="12">
        <v>1993</v>
      </c>
      <c r="E46" s="12">
        <v>7528</v>
      </c>
      <c r="F46" s="12" t="s">
        <v>74</v>
      </c>
    </row>
    <row r="47" spans="1:6" x14ac:dyDescent="0.25">
      <c r="A47" s="11">
        <v>11</v>
      </c>
      <c r="B47" s="12" t="s">
        <v>83</v>
      </c>
      <c r="C47" s="12"/>
      <c r="D47" s="12">
        <v>1993</v>
      </c>
      <c r="E47" s="12">
        <v>7529</v>
      </c>
      <c r="F47" s="12" t="s">
        <v>78</v>
      </c>
    </row>
    <row r="48" spans="1:6" x14ac:dyDescent="0.25">
      <c r="A48" s="11">
        <v>11</v>
      </c>
      <c r="B48" s="12" t="s">
        <v>83</v>
      </c>
      <c r="C48" s="12"/>
      <c r="D48" s="12">
        <v>1993</v>
      </c>
      <c r="E48" s="12">
        <v>7530</v>
      </c>
      <c r="F48" s="12" t="s">
        <v>84</v>
      </c>
    </row>
    <row r="49" spans="1:6" ht="15.75" thickBot="1" x14ac:dyDescent="0.3">
      <c r="A49" s="11"/>
      <c r="B49" s="12"/>
      <c r="C49" s="12"/>
      <c r="D49" s="12"/>
      <c r="E49" s="12"/>
      <c r="F49" s="34" t="s">
        <v>85</v>
      </c>
    </row>
    <row r="50" spans="1:6" ht="15.75" thickBot="1" x14ac:dyDescent="0.3">
      <c r="A50" s="19">
        <v>12</v>
      </c>
      <c r="B50" s="39" t="s">
        <v>90</v>
      </c>
      <c r="C50" s="39"/>
      <c r="D50" s="39">
        <v>1989</v>
      </c>
      <c r="E50" s="39">
        <v>1187</v>
      </c>
      <c r="F50" s="39" t="s">
        <v>74</v>
      </c>
    </row>
    <row r="51" spans="1:6" x14ac:dyDescent="0.25">
      <c r="A51" s="22">
        <v>12</v>
      </c>
      <c r="B51" s="12" t="s">
        <v>90</v>
      </c>
      <c r="C51" s="12"/>
      <c r="D51" s="39">
        <v>1989</v>
      </c>
      <c r="E51" s="12">
        <v>1190</v>
      </c>
      <c r="F51" s="12" t="s">
        <v>87</v>
      </c>
    </row>
    <row r="52" spans="1:6" x14ac:dyDescent="0.25">
      <c r="A52" s="32"/>
      <c r="B52" s="38"/>
      <c r="C52" s="38"/>
      <c r="D52" s="38"/>
      <c r="E52" s="38"/>
      <c r="F52" s="42" t="s">
        <v>88</v>
      </c>
    </row>
    <row r="53" spans="1:6" x14ac:dyDescent="0.25">
      <c r="A53" s="11">
        <v>13</v>
      </c>
      <c r="B53" s="12" t="s">
        <v>92</v>
      </c>
      <c r="C53" s="12"/>
      <c r="D53" s="12">
        <v>1985</v>
      </c>
      <c r="E53" s="12">
        <v>767</v>
      </c>
      <c r="F53" s="12" t="s">
        <v>91</v>
      </c>
    </row>
    <row r="54" spans="1:6" x14ac:dyDescent="0.25">
      <c r="A54" s="11">
        <v>14</v>
      </c>
      <c r="B54" s="12" t="s">
        <v>96</v>
      </c>
      <c r="C54" s="12"/>
      <c r="D54" s="12">
        <v>2039</v>
      </c>
      <c r="E54" s="12">
        <v>1189</v>
      </c>
      <c r="F54" s="12" t="s">
        <v>94</v>
      </c>
    </row>
  </sheetData>
  <mergeCells count="3">
    <mergeCell ref="A1:A4"/>
    <mergeCell ref="A6:A7"/>
    <mergeCell ref="D6:D7"/>
  </mergeCells>
  <pageMargins left="0.7" right="0.7" top="0.75" bottom="0.75" header="0.3" footer="0.3"/>
  <pageSetup paperSize="9" orientation="portrait" r:id="rId1"/>
  <headerFooter>
    <oddHeader>&amp;C&amp;"Cambria"&amp;11&amp;K1AFF96 Classification | INTERNAL</oddHeader>
    <oddFooter>&amp;C&amp;"Cambria"&amp;11&amp;K1AFF96 Classification | INTERNAL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opLeftCell="A43" workbookViewId="0">
      <selection activeCell="D78" sqref="D78"/>
    </sheetView>
  </sheetViews>
  <sheetFormatPr defaultRowHeight="15" x14ac:dyDescent="0.25"/>
  <cols>
    <col min="1" max="2" width="25" customWidth="1"/>
    <col min="3" max="3" width="9" bestFit="1" customWidth="1"/>
    <col min="4" max="4" width="24.7109375" customWidth="1"/>
    <col min="5" max="5" width="17.85546875" bestFit="1" customWidth="1"/>
    <col min="6" max="6" width="20.5703125" bestFit="1" customWidth="1"/>
    <col min="7" max="7" width="27.85546875" bestFit="1" customWidth="1"/>
    <col min="8" max="8" width="6.28515625" bestFit="1" customWidth="1"/>
    <col min="9" max="9" width="15.5703125" bestFit="1" customWidth="1"/>
    <col min="10" max="10" width="5.140625" bestFit="1" customWidth="1"/>
    <col min="11" max="11" width="9.7109375" bestFit="1" customWidth="1"/>
  </cols>
  <sheetData>
    <row r="1" spans="1:11" x14ac:dyDescent="0.25">
      <c r="C1" t="s">
        <v>288</v>
      </c>
    </row>
    <row r="2" spans="1:11" x14ac:dyDescent="0.25">
      <c r="B2" s="1" t="s">
        <v>118</v>
      </c>
      <c r="C2" s="4" t="s">
        <v>0</v>
      </c>
      <c r="D2" s="5" t="s">
        <v>1</v>
      </c>
      <c r="E2" s="34" t="s">
        <v>116</v>
      </c>
      <c r="F2" s="4" t="s">
        <v>102</v>
      </c>
      <c r="G2" s="4"/>
      <c r="H2" s="4"/>
      <c r="I2" s="4"/>
      <c r="J2" s="4"/>
      <c r="K2" s="4"/>
    </row>
    <row r="3" spans="1:11" x14ac:dyDescent="0.25">
      <c r="A3" s="148" t="s">
        <v>117</v>
      </c>
      <c r="B3" s="49"/>
      <c r="C3" s="7">
        <v>1892</v>
      </c>
      <c r="D3" s="46">
        <v>1419</v>
      </c>
      <c r="E3" t="s">
        <v>104</v>
      </c>
      <c r="F3" s="46" t="s">
        <v>112</v>
      </c>
    </row>
    <row r="4" spans="1:11" x14ac:dyDescent="0.25">
      <c r="A4" s="148"/>
      <c r="B4" s="49"/>
      <c r="C4" s="7">
        <v>1892</v>
      </c>
      <c r="D4" s="46">
        <v>1423</v>
      </c>
      <c r="E4" t="s">
        <v>105</v>
      </c>
      <c r="F4" s="47" t="s">
        <v>113</v>
      </c>
    </row>
    <row r="5" spans="1:11" x14ac:dyDescent="0.25">
      <c r="A5" s="148"/>
      <c r="B5" s="49"/>
      <c r="C5" s="7">
        <v>1892</v>
      </c>
      <c r="D5" s="46">
        <v>1541</v>
      </c>
      <c r="E5" t="s">
        <v>106</v>
      </c>
      <c r="F5" s="46">
        <v>0.376</v>
      </c>
    </row>
    <row r="6" spans="1:11" x14ac:dyDescent="0.25">
      <c r="A6" s="148"/>
      <c r="B6" s="49"/>
      <c r="C6" s="7">
        <v>1892</v>
      </c>
      <c r="D6" s="46">
        <v>1544</v>
      </c>
      <c r="E6" t="s">
        <v>107</v>
      </c>
      <c r="F6" s="46">
        <v>0.214</v>
      </c>
    </row>
    <row r="7" spans="1:11" x14ac:dyDescent="0.25">
      <c r="A7" s="148"/>
      <c r="B7" s="49"/>
      <c r="C7" s="7">
        <v>1892</v>
      </c>
      <c r="D7" s="46">
        <v>1572</v>
      </c>
      <c r="E7" t="s">
        <v>108</v>
      </c>
      <c r="F7" s="46">
        <v>7.2999999999999995E-2</v>
      </c>
    </row>
    <row r="8" spans="1:11" x14ac:dyDescent="0.25">
      <c r="A8" s="148"/>
      <c r="B8" s="49"/>
      <c r="C8" s="7">
        <v>1892</v>
      </c>
      <c r="D8" s="46">
        <v>1583</v>
      </c>
      <c r="E8" t="s">
        <v>109</v>
      </c>
      <c r="F8" s="46">
        <v>4.9000000000000002E-2</v>
      </c>
    </row>
    <row r="9" spans="1:11" x14ac:dyDescent="0.25">
      <c r="A9" s="148"/>
      <c r="B9" s="49"/>
      <c r="C9" s="7">
        <v>1892</v>
      </c>
      <c r="D9" s="46">
        <v>1586</v>
      </c>
      <c r="E9" t="s">
        <v>110</v>
      </c>
      <c r="F9" s="46">
        <v>5.7000000000000002E-2</v>
      </c>
    </row>
    <row r="10" spans="1:11" x14ac:dyDescent="0.25">
      <c r="A10" s="148"/>
      <c r="B10" s="49"/>
      <c r="C10" s="7">
        <v>1892</v>
      </c>
      <c r="D10" s="46">
        <v>1588</v>
      </c>
      <c r="E10" t="s">
        <v>111</v>
      </c>
      <c r="F10" s="46">
        <v>9.2999999999999999E-2</v>
      </c>
    </row>
    <row r="11" spans="1:11" s="1" customFormat="1" x14ac:dyDescent="0.25">
      <c r="E11" s="1" t="s">
        <v>114</v>
      </c>
      <c r="F11" s="48" t="s">
        <v>115</v>
      </c>
    </row>
    <row r="14" spans="1:11" x14ac:dyDescent="0.25">
      <c r="B14" s="1" t="s">
        <v>118</v>
      </c>
      <c r="C14" s="4" t="s">
        <v>0</v>
      </c>
      <c r="D14" s="5" t="s">
        <v>1</v>
      </c>
      <c r="E14" s="34" t="s">
        <v>116</v>
      </c>
      <c r="F14" s="4" t="s">
        <v>102</v>
      </c>
      <c r="G14" s="4" t="s">
        <v>152</v>
      </c>
    </row>
    <row r="15" spans="1:11" x14ac:dyDescent="0.25">
      <c r="A15" s="148" t="s">
        <v>117</v>
      </c>
      <c r="C15" t="s">
        <v>150</v>
      </c>
      <c r="D15" t="s">
        <v>154</v>
      </c>
      <c r="E15" t="s">
        <v>151</v>
      </c>
      <c r="G15" t="s">
        <v>156</v>
      </c>
    </row>
    <row r="16" spans="1:11" x14ac:dyDescent="0.25">
      <c r="A16" s="148"/>
      <c r="D16" t="s">
        <v>153</v>
      </c>
      <c r="E16" t="s">
        <v>105</v>
      </c>
      <c r="G16" t="s">
        <v>156</v>
      </c>
    </row>
    <row r="17" spans="1:7" x14ac:dyDescent="0.25">
      <c r="A17" s="148"/>
      <c r="D17" t="s">
        <v>160</v>
      </c>
      <c r="E17" t="s">
        <v>155</v>
      </c>
      <c r="G17" t="s">
        <v>156</v>
      </c>
    </row>
    <row r="18" spans="1:7" x14ac:dyDescent="0.25">
      <c r="A18" s="148"/>
      <c r="D18" t="s">
        <v>161</v>
      </c>
      <c r="E18" t="s">
        <v>107</v>
      </c>
      <c r="G18" t="s">
        <v>156</v>
      </c>
    </row>
    <row r="19" spans="1:7" x14ac:dyDescent="0.25">
      <c r="A19" s="148"/>
      <c r="D19" t="s">
        <v>157</v>
      </c>
      <c r="E19" t="s">
        <v>108</v>
      </c>
      <c r="G19" t="s">
        <v>158</v>
      </c>
    </row>
    <row r="20" spans="1:7" x14ac:dyDescent="0.25">
      <c r="A20" s="148"/>
      <c r="D20" t="s">
        <v>159</v>
      </c>
      <c r="E20" t="s">
        <v>109</v>
      </c>
      <c r="G20" t="s">
        <v>158</v>
      </c>
    </row>
    <row r="22" spans="1:7" x14ac:dyDescent="0.25">
      <c r="B22" s="1" t="s">
        <v>118</v>
      </c>
      <c r="C22" s="4" t="s">
        <v>0</v>
      </c>
      <c r="D22" s="5" t="s">
        <v>1</v>
      </c>
      <c r="E22" s="34" t="s">
        <v>116</v>
      </c>
      <c r="F22" s="4" t="s">
        <v>102</v>
      </c>
      <c r="G22" s="4" t="s">
        <v>152</v>
      </c>
    </row>
    <row r="23" spans="1:7" x14ac:dyDescent="0.25">
      <c r="A23" s="148" t="s">
        <v>117</v>
      </c>
      <c r="C23">
        <v>1615</v>
      </c>
      <c r="D23" t="s">
        <v>162</v>
      </c>
      <c r="E23" t="s">
        <v>110</v>
      </c>
      <c r="G23" t="s">
        <v>158</v>
      </c>
    </row>
    <row r="24" spans="1:7" x14ac:dyDescent="0.25">
      <c r="A24" s="148"/>
      <c r="D24" t="s">
        <v>163</v>
      </c>
      <c r="E24" t="s">
        <v>111</v>
      </c>
      <c r="G24" t="s">
        <v>158</v>
      </c>
    </row>
    <row r="25" spans="1:7" x14ac:dyDescent="0.25">
      <c r="A25" s="148"/>
    </row>
    <row r="26" spans="1:7" x14ac:dyDescent="0.25">
      <c r="A26" s="148"/>
    </row>
    <row r="27" spans="1:7" x14ac:dyDescent="0.25">
      <c r="A27" s="148"/>
    </row>
    <row r="28" spans="1:7" x14ac:dyDescent="0.25">
      <c r="A28" s="148"/>
    </row>
    <row r="29" spans="1:7" x14ac:dyDescent="0.25">
      <c r="B29" s="1" t="s">
        <v>118</v>
      </c>
      <c r="C29" s="4" t="s">
        <v>0</v>
      </c>
      <c r="D29" s="5" t="s">
        <v>1</v>
      </c>
      <c r="E29" s="34" t="s">
        <v>116</v>
      </c>
      <c r="F29" s="4" t="s">
        <v>102</v>
      </c>
      <c r="G29" s="4" t="s">
        <v>152</v>
      </c>
    </row>
    <row r="30" spans="1:7" ht="30" x14ac:dyDescent="0.25">
      <c r="A30" s="148" t="s">
        <v>197</v>
      </c>
      <c r="C30">
        <v>43</v>
      </c>
      <c r="D30" s="60" t="s">
        <v>164</v>
      </c>
      <c r="F30" s="61" t="s">
        <v>165</v>
      </c>
      <c r="G30" t="s">
        <v>176</v>
      </c>
    </row>
    <row r="31" spans="1:7" x14ac:dyDescent="0.25">
      <c r="A31" s="148"/>
      <c r="D31" t="s">
        <v>166</v>
      </c>
      <c r="F31" s="47" t="s">
        <v>167</v>
      </c>
      <c r="G31" t="s">
        <v>177</v>
      </c>
    </row>
    <row r="32" spans="1:7" x14ac:dyDescent="0.25">
      <c r="A32" s="148"/>
      <c r="D32" s="90" t="s">
        <v>168</v>
      </c>
      <c r="F32" s="47" t="s">
        <v>169</v>
      </c>
      <c r="G32" t="s">
        <v>178</v>
      </c>
    </row>
    <row r="33" spans="1:7" x14ac:dyDescent="0.25">
      <c r="A33" s="148"/>
      <c r="D33" s="90" t="s">
        <v>170</v>
      </c>
      <c r="F33" t="s">
        <v>171</v>
      </c>
      <c r="G33" t="s">
        <v>175</v>
      </c>
    </row>
    <row r="34" spans="1:7" x14ac:dyDescent="0.25">
      <c r="A34" s="148"/>
      <c r="D34" t="s">
        <v>173</v>
      </c>
      <c r="F34" s="47" t="s">
        <v>174</v>
      </c>
      <c r="G34" t="s">
        <v>179</v>
      </c>
    </row>
    <row r="35" spans="1:7" ht="30" x14ac:dyDescent="0.25">
      <c r="A35" s="148"/>
      <c r="D35" s="62" t="s">
        <v>182</v>
      </c>
      <c r="F35" s="47" t="s">
        <v>172</v>
      </c>
      <c r="G35" t="s">
        <v>180</v>
      </c>
    </row>
    <row r="36" spans="1:7" x14ac:dyDescent="0.25">
      <c r="A36" s="148"/>
    </row>
    <row r="37" spans="1:7" x14ac:dyDescent="0.25">
      <c r="B37" s="1" t="s">
        <v>118</v>
      </c>
      <c r="C37" s="4" t="s">
        <v>0</v>
      </c>
      <c r="D37" s="5" t="s">
        <v>1</v>
      </c>
      <c r="E37" s="34" t="s">
        <v>116</v>
      </c>
      <c r="F37" s="4" t="s">
        <v>102</v>
      </c>
      <c r="G37" s="4" t="s">
        <v>152</v>
      </c>
    </row>
    <row r="38" spans="1:7" x14ac:dyDescent="0.25">
      <c r="A38" s="148" t="s">
        <v>197</v>
      </c>
      <c r="C38">
        <v>47</v>
      </c>
      <c r="D38" t="s">
        <v>181</v>
      </c>
      <c r="F38" t="s">
        <v>183</v>
      </c>
      <c r="G38" t="s">
        <v>196</v>
      </c>
    </row>
    <row r="39" spans="1:7" x14ac:dyDescent="0.25">
      <c r="A39" s="148"/>
      <c r="C39">
        <v>47</v>
      </c>
      <c r="D39" t="s">
        <v>184</v>
      </c>
      <c r="F39" s="47" t="s">
        <v>185</v>
      </c>
      <c r="G39" t="s">
        <v>196</v>
      </c>
    </row>
    <row r="40" spans="1:7" x14ac:dyDescent="0.25">
      <c r="A40" s="148"/>
      <c r="F40" s="47" t="s">
        <v>186</v>
      </c>
      <c r="G40" t="s">
        <v>196</v>
      </c>
    </row>
    <row r="41" spans="1:7" x14ac:dyDescent="0.25">
      <c r="A41" s="148"/>
      <c r="F41" s="47" t="s">
        <v>187</v>
      </c>
      <c r="G41" t="s">
        <v>196</v>
      </c>
    </row>
    <row r="42" spans="1:7" x14ac:dyDescent="0.25">
      <c r="A42" s="148"/>
      <c r="F42" s="47" t="s">
        <v>188</v>
      </c>
      <c r="G42" t="s">
        <v>196</v>
      </c>
    </row>
    <row r="43" spans="1:7" x14ac:dyDescent="0.25">
      <c r="A43" s="148"/>
      <c r="F43" s="47" t="s">
        <v>189</v>
      </c>
      <c r="G43" t="s">
        <v>196</v>
      </c>
    </row>
    <row r="44" spans="1:7" x14ac:dyDescent="0.25">
      <c r="A44" s="148"/>
      <c r="C44">
        <v>47</v>
      </c>
      <c r="D44" t="s">
        <v>190</v>
      </c>
      <c r="F44" s="47" t="s">
        <v>191</v>
      </c>
      <c r="G44" t="s">
        <v>195</v>
      </c>
    </row>
    <row r="45" spans="1:7" x14ac:dyDescent="0.25">
      <c r="C45">
        <v>47</v>
      </c>
      <c r="D45" t="s">
        <v>192</v>
      </c>
      <c r="F45" s="47" t="s">
        <v>193</v>
      </c>
      <c r="G45" t="s">
        <v>194</v>
      </c>
    </row>
    <row r="47" spans="1:7" x14ac:dyDescent="0.25">
      <c r="B47" s="1" t="s">
        <v>118</v>
      </c>
      <c r="C47" s="4" t="s">
        <v>0</v>
      </c>
      <c r="D47" s="5" t="s">
        <v>1</v>
      </c>
      <c r="E47" s="34" t="s">
        <v>116</v>
      </c>
      <c r="F47" s="4" t="s">
        <v>102</v>
      </c>
      <c r="G47" s="4" t="s">
        <v>152</v>
      </c>
    </row>
    <row r="48" spans="1:7" ht="15" customHeight="1" x14ac:dyDescent="0.25">
      <c r="C48">
        <v>46</v>
      </c>
      <c r="D48" t="s">
        <v>199</v>
      </c>
      <c r="F48" s="47" t="s">
        <v>200</v>
      </c>
      <c r="G48" t="s">
        <v>207</v>
      </c>
    </row>
    <row r="49" spans="1:7" x14ac:dyDescent="0.25">
      <c r="A49" s="146" t="s">
        <v>198</v>
      </c>
      <c r="F49" s="47" t="s">
        <v>201</v>
      </c>
      <c r="G49" t="s">
        <v>207</v>
      </c>
    </row>
    <row r="50" spans="1:7" x14ac:dyDescent="0.25">
      <c r="A50" s="147"/>
      <c r="F50" s="47" t="s">
        <v>202</v>
      </c>
      <c r="G50" t="s">
        <v>207</v>
      </c>
    </row>
    <row r="51" spans="1:7" x14ac:dyDescent="0.25">
      <c r="A51" s="147"/>
      <c r="F51" s="47" t="s">
        <v>203</v>
      </c>
      <c r="G51" t="s">
        <v>207</v>
      </c>
    </row>
    <row r="52" spans="1:7" x14ac:dyDescent="0.25">
      <c r="A52" s="147"/>
      <c r="F52" s="47" t="s">
        <v>204</v>
      </c>
      <c r="G52" t="s">
        <v>207</v>
      </c>
    </row>
    <row r="53" spans="1:7" x14ac:dyDescent="0.25">
      <c r="A53" s="147"/>
      <c r="F53" s="47" t="s">
        <v>205</v>
      </c>
      <c r="G53" t="s">
        <v>207</v>
      </c>
    </row>
    <row r="54" spans="1:7" x14ac:dyDescent="0.25">
      <c r="A54" s="147"/>
      <c r="F54" s="47" t="s">
        <v>201</v>
      </c>
      <c r="G54" t="s">
        <v>207</v>
      </c>
    </row>
    <row r="55" spans="1:7" x14ac:dyDescent="0.25">
      <c r="A55" s="147"/>
      <c r="F55" s="47" t="s">
        <v>206</v>
      </c>
      <c r="G55" t="s">
        <v>207</v>
      </c>
    </row>
    <row r="56" spans="1:7" x14ac:dyDescent="0.25">
      <c r="A56" s="147"/>
    </row>
    <row r="57" spans="1:7" x14ac:dyDescent="0.25">
      <c r="A57" s="147"/>
    </row>
    <row r="58" spans="1:7" x14ac:dyDescent="0.25">
      <c r="A58" s="147"/>
    </row>
    <row r="60" spans="1:7" x14ac:dyDescent="0.25">
      <c r="B60" s="1" t="s">
        <v>118</v>
      </c>
      <c r="C60" s="4" t="s">
        <v>0</v>
      </c>
      <c r="D60" s="5" t="s">
        <v>1</v>
      </c>
      <c r="E60" s="34" t="s">
        <v>116</v>
      </c>
      <c r="F60" s="4" t="s">
        <v>102</v>
      </c>
      <c r="G60" s="4" t="s">
        <v>152</v>
      </c>
    </row>
    <row r="61" spans="1:7" x14ac:dyDescent="0.25">
      <c r="A61" s="148" t="s">
        <v>208</v>
      </c>
      <c r="C61" t="s">
        <v>209</v>
      </c>
      <c r="D61" s="63" t="s">
        <v>210</v>
      </c>
      <c r="F61" s="47" t="s">
        <v>213</v>
      </c>
      <c r="G61" t="s">
        <v>211</v>
      </c>
    </row>
    <row r="62" spans="1:7" x14ac:dyDescent="0.25">
      <c r="A62" s="148"/>
      <c r="D62" t="s">
        <v>212</v>
      </c>
      <c r="F62" s="47" t="s">
        <v>214</v>
      </c>
      <c r="G62" t="s">
        <v>215</v>
      </c>
    </row>
    <row r="63" spans="1:7" x14ac:dyDescent="0.25">
      <c r="A63" s="148"/>
    </row>
    <row r="64" spans="1:7" x14ac:dyDescent="0.25">
      <c r="A64" s="148"/>
    </row>
    <row r="65" spans="1:7" x14ac:dyDescent="0.25">
      <c r="A65" s="148"/>
    </row>
    <row r="66" spans="1:7" x14ac:dyDescent="0.25">
      <c r="A66" s="148"/>
    </row>
    <row r="67" spans="1:7" x14ac:dyDescent="0.25">
      <c r="A67" s="148"/>
    </row>
    <row r="69" spans="1:7" x14ac:dyDescent="0.25">
      <c r="B69" s="1" t="s">
        <v>118</v>
      </c>
      <c r="C69" s="4" t="s">
        <v>0</v>
      </c>
      <c r="D69" s="5" t="s">
        <v>1</v>
      </c>
      <c r="E69" s="34" t="s">
        <v>116</v>
      </c>
      <c r="F69" s="4" t="s">
        <v>102</v>
      </c>
      <c r="G69" s="4" t="s">
        <v>152</v>
      </c>
    </row>
    <row r="70" spans="1:7" x14ac:dyDescent="0.25">
      <c r="A70" s="146" t="s">
        <v>216</v>
      </c>
      <c r="C70">
        <v>469</v>
      </c>
      <c r="D70" t="s">
        <v>217</v>
      </c>
      <c r="F70" s="47" t="s">
        <v>218</v>
      </c>
      <c r="G70" t="s">
        <v>219</v>
      </c>
    </row>
    <row r="71" spans="1:7" x14ac:dyDescent="0.25">
      <c r="A71" s="147"/>
      <c r="D71" s="47" t="s">
        <v>220</v>
      </c>
    </row>
    <row r="72" spans="1:7" x14ac:dyDescent="0.25">
      <c r="A72" s="147"/>
      <c r="D72" t="s">
        <v>221</v>
      </c>
      <c r="F72" s="47" t="s">
        <v>223</v>
      </c>
      <c r="G72" t="s">
        <v>222</v>
      </c>
    </row>
    <row r="73" spans="1:7" x14ac:dyDescent="0.25">
      <c r="A73" s="147"/>
      <c r="D73" t="s">
        <v>224</v>
      </c>
      <c r="F73" s="47" t="s">
        <v>225</v>
      </c>
      <c r="G73" t="s">
        <v>226</v>
      </c>
    </row>
    <row r="74" spans="1:7" x14ac:dyDescent="0.25">
      <c r="A74" s="147"/>
    </row>
    <row r="75" spans="1:7" x14ac:dyDescent="0.25">
      <c r="A75" s="147"/>
    </row>
  </sheetData>
  <mergeCells count="8">
    <mergeCell ref="A70:A75"/>
    <mergeCell ref="A49:A58"/>
    <mergeCell ref="A61:A67"/>
    <mergeCell ref="A3:A10"/>
    <mergeCell ref="A15:A20"/>
    <mergeCell ref="A23:A28"/>
    <mergeCell ref="A30:A36"/>
    <mergeCell ref="A38:A44"/>
  </mergeCells>
  <pageMargins left="0.7" right="0.7" top="0.75" bottom="0.75" header="0.3" footer="0.3"/>
  <pageSetup paperSize="9" orientation="portrait" r:id="rId1"/>
  <headerFooter>
    <oddHeader>&amp;C&amp;"Cambria"&amp;11&amp;K1AFF96 Classification | INTERNAL</oddHeader>
    <oddFooter>&amp;C&amp;"Cambria"&amp;11&amp;K1AFF96 Classification |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2"/>
  <sheetViews>
    <sheetView workbookViewId="0">
      <selection activeCell="B6" sqref="B6"/>
    </sheetView>
  </sheetViews>
  <sheetFormatPr defaultRowHeight="15" x14ac:dyDescent="0.25"/>
  <cols>
    <col min="2" max="2" width="25.140625" bestFit="1" customWidth="1"/>
    <col min="3" max="3" width="19.140625" bestFit="1" customWidth="1"/>
    <col min="4" max="4" width="30.28515625" bestFit="1" customWidth="1"/>
    <col min="5" max="5" width="9.7109375" bestFit="1" customWidth="1"/>
    <col min="7" max="7" width="12" bestFit="1" customWidth="1"/>
    <col min="8" max="8" width="12.28515625" bestFit="1" customWidth="1"/>
  </cols>
  <sheetData>
    <row r="1" spans="2:4" x14ac:dyDescent="0.25">
      <c r="B1" s="50" t="s">
        <v>124</v>
      </c>
      <c r="C1" s="51"/>
      <c r="D1" s="52"/>
    </row>
    <row r="2" spans="2:4" x14ac:dyDescent="0.25">
      <c r="B2" s="53" t="s">
        <v>118</v>
      </c>
      <c r="C2" s="1" t="s">
        <v>1</v>
      </c>
      <c r="D2" s="54" t="s">
        <v>5</v>
      </c>
    </row>
    <row r="3" spans="2:4" x14ac:dyDescent="0.25">
      <c r="B3" s="55" t="s">
        <v>141</v>
      </c>
      <c r="C3">
        <v>871</v>
      </c>
      <c r="D3" s="56" t="s">
        <v>127</v>
      </c>
    </row>
    <row r="4" spans="2:4" x14ac:dyDescent="0.25">
      <c r="B4" s="55" t="s">
        <v>128</v>
      </c>
      <c r="C4">
        <v>110</v>
      </c>
      <c r="D4" s="56" t="s">
        <v>129</v>
      </c>
    </row>
    <row r="5" spans="2:4" x14ac:dyDescent="0.25">
      <c r="B5" s="55" t="s">
        <v>130</v>
      </c>
      <c r="C5">
        <v>105</v>
      </c>
      <c r="D5" s="56" t="s">
        <v>82</v>
      </c>
    </row>
    <row r="6" spans="2:4" x14ac:dyDescent="0.25">
      <c r="B6" s="55" t="s">
        <v>348</v>
      </c>
      <c r="C6" t="s">
        <v>349</v>
      </c>
      <c r="D6" s="56" t="s">
        <v>131</v>
      </c>
    </row>
    <row r="7" spans="2:4" x14ac:dyDescent="0.25">
      <c r="B7" s="53" t="s">
        <v>103</v>
      </c>
      <c r="C7" s="1"/>
      <c r="D7" s="54" t="s">
        <v>132</v>
      </c>
    </row>
    <row r="8" spans="2:4" x14ac:dyDescent="0.25">
      <c r="B8" s="55"/>
      <c r="D8" s="56"/>
    </row>
    <row r="9" spans="2:4" x14ac:dyDescent="0.25">
      <c r="B9" s="53" t="s">
        <v>133</v>
      </c>
      <c r="D9" s="56"/>
    </row>
    <row r="10" spans="2:4" x14ac:dyDescent="0.25">
      <c r="B10" s="55" t="s">
        <v>119</v>
      </c>
      <c r="D10" s="56"/>
    </row>
    <row r="11" spans="2:4" x14ac:dyDescent="0.25">
      <c r="B11" s="55" t="s">
        <v>149</v>
      </c>
      <c r="D11" s="56"/>
    </row>
    <row r="12" spans="2:4" x14ac:dyDescent="0.25">
      <c r="B12" s="57" t="s">
        <v>120</v>
      </c>
      <c r="C12" s="58"/>
      <c r="D12" s="59"/>
    </row>
    <row r="14" spans="2:4" x14ac:dyDescent="0.25">
      <c r="B14" s="50" t="s">
        <v>125</v>
      </c>
      <c r="C14" s="51"/>
      <c r="D14" s="52"/>
    </row>
    <row r="15" spans="2:4" x14ac:dyDescent="0.25">
      <c r="B15" s="53" t="s">
        <v>118</v>
      </c>
      <c r="C15" s="1" t="s">
        <v>1</v>
      </c>
      <c r="D15" s="54" t="s">
        <v>5</v>
      </c>
    </row>
    <row r="16" spans="2:4" x14ac:dyDescent="0.25">
      <c r="B16" s="55" t="s">
        <v>134</v>
      </c>
      <c r="C16" s="46" t="s">
        <v>140</v>
      </c>
      <c r="D16" s="56" t="s">
        <v>68</v>
      </c>
    </row>
    <row r="17" spans="2:6" x14ac:dyDescent="0.25">
      <c r="B17" s="55" t="s">
        <v>135</v>
      </c>
      <c r="C17" s="46">
        <v>126</v>
      </c>
      <c r="D17" s="56" t="s">
        <v>136</v>
      </c>
    </row>
    <row r="18" spans="2:6" x14ac:dyDescent="0.25">
      <c r="B18" s="55" t="s">
        <v>137</v>
      </c>
      <c r="C18" s="46">
        <v>844</v>
      </c>
      <c r="D18" s="56" t="s">
        <v>138</v>
      </c>
    </row>
    <row r="19" spans="2:6" x14ac:dyDescent="0.25">
      <c r="B19" s="53" t="s">
        <v>103</v>
      </c>
      <c r="C19" s="1"/>
      <c r="D19" s="54" t="s">
        <v>139</v>
      </c>
    </row>
    <row r="20" spans="2:6" x14ac:dyDescent="0.25">
      <c r="B20" s="55"/>
      <c r="D20" s="56"/>
    </row>
    <row r="21" spans="2:6" x14ac:dyDescent="0.25">
      <c r="B21" s="53" t="s">
        <v>133</v>
      </c>
      <c r="D21" s="56"/>
    </row>
    <row r="22" spans="2:6" x14ac:dyDescent="0.25">
      <c r="B22" s="55" t="s">
        <v>148</v>
      </c>
      <c r="D22" s="56"/>
    </row>
    <row r="23" spans="2:6" x14ac:dyDescent="0.25">
      <c r="B23" s="55" t="s">
        <v>121</v>
      </c>
      <c r="D23" s="56"/>
    </row>
    <row r="24" spans="2:6" x14ac:dyDescent="0.25">
      <c r="B24" s="55" t="s">
        <v>122</v>
      </c>
      <c r="D24" s="56"/>
    </row>
    <row r="25" spans="2:6" x14ac:dyDescent="0.25">
      <c r="B25" s="57" t="s">
        <v>123</v>
      </c>
      <c r="C25" s="58"/>
      <c r="D25" s="59"/>
    </row>
    <row r="27" spans="2:6" x14ac:dyDescent="0.25">
      <c r="B27" s="82" t="s">
        <v>126</v>
      </c>
      <c r="C27" s="82"/>
      <c r="D27" s="51"/>
      <c r="E27" s="51"/>
      <c r="F27" s="51"/>
    </row>
    <row r="28" spans="2:6" x14ac:dyDescent="0.25">
      <c r="B28" s="84" t="s">
        <v>118</v>
      </c>
      <c r="C28" s="84" t="s">
        <v>1</v>
      </c>
      <c r="D28" s="84" t="s">
        <v>5</v>
      </c>
    </row>
    <row r="29" spans="2:6" x14ac:dyDescent="0.25">
      <c r="B29" s="85" t="s">
        <v>141</v>
      </c>
      <c r="C29" s="83" t="s">
        <v>258</v>
      </c>
      <c r="D29" s="85" t="s">
        <v>127</v>
      </c>
    </row>
    <row r="30" spans="2:6" x14ac:dyDescent="0.25">
      <c r="B30" s="85" t="s">
        <v>142</v>
      </c>
      <c r="C30" s="85"/>
      <c r="D30" s="85" t="s">
        <v>143</v>
      </c>
    </row>
    <row r="31" spans="2:6" x14ac:dyDescent="0.25">
      <c r="B31" s="85" t="s">
        <v>144</v>
      </c>
      <c r="C31" s="83" t="s">
        <v>261</v>
      </c>
      <c r="D31" s="149" t="s">
        <v>145</v>
      </c>
    </row>
    <row r="32" spans="2:6" x14ac:dyDescent="0.25">
      <c r="B32" s="85"/>
      <c r="C32" s="83" t="s">
        <v>262</v>
      </c>
      <c r="D32" s="149"/>
    </row>
    <row r="33" spans="2:4" x14ac:dyDescent="0.25">
      <c r="B33" s="85" t="s">
        <v>146</v>
      </c>
      <c r="C33" s="85" t="s">
        <v>257</v>
      </c>
      <c r="D33" s="85" t="s">
        <v>147</v>
      </c>
    </row>
    <row r="34" spans="2:4" x14ac:dyDescent="0.25">
      <c r="B34" s="84" t="s">
        <v>103</v>
      </c>
      <c r="C34" s="84"/>
      <c r="D34" s="84" t="s">
        <v>139</v>
      </c>
    </row>
    <row r="35" spans="2:4" x14ac:dyDescent="0.25">
      <c r="B35" s="85"/>
      <c r="C35" s="85"/>
      <c r="D35" s="85"/>
    </row>
    <row r="36" spans="2:4" x14ac:dyDescent="0.25">
      <c r="B36" s="85"/>
      <c r="C36" s="87"/>
      <c r="D36" s="85"/>
    </row>
    <row r="37" spans="2:4" x14ac:dyDescent="0.25">
      <c r="B37" s="85"/>
      <c r="C37" s="87"/>
      <c r="D37" s="85"/>
    </row>
    <row r="38" spans="2:4" x14ac:dyDescent="0.25">
      <c r="B38" s="84"/>
      <c r="C38" s="85"/>
      <c r="D38" s="84"/>
    </row>
    <row r="39" spans="2:4" x14ac:dyDescent="0.25">
      <c r="B39" s="84"/>
      <c r="C39" s="85"/>
      <c r="D39" s="84"/>
    </row>
    <row r="40" spans="2:4" x14ac:dyDescent="0.25">
      <c r="B40" s="85"/>
      <c r="C40" s="83"/>
      <c r="D40" s="85"/>
    </row>
    <row r="41" spans="2:4" x14ac:dyDescent="0.25">
      <c r="B41" s="85"/>
      <c r="C41" s="83"/>
      <c r="D41" s="85"/>
    </row>
    <row r="42" spans="2:4" x14ac:dyDescent="0.25">
      <c r="B42" s="84"/>
      <c r="C42" s="84"/>
      <c r="D42" s="84"/>
    </row>
  </sheetData>
  <mergeCells count="1">
    <mergeCell ref="D31:D32"/>
  </mergeCells>
  <pageMargins left="0.7" right="0.7" top="0.75" bottom="0.75" header="0.3" footer="0.3"/>
  <pageSetup paperSize="9" orientation="portrait" r:id="rId1"/>
  <headerFooter>
    <oddHeader>&amp;C&amp;"Cambria"&amp;11&amp;K1AFF96 Classification | INTERNAL</oddHeader>
    <oddFooter>&amp;C&amp;"Cambria"&amp;11&amp;K1AFF96 Classification |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G15" sqref="G15"/>
    </sheetView>
  </sheetViews>
  <sheetFormatPr defaultRowHeight="15" x14ac:dyDescent="0.25"/>
  <cols>
    <col min="2" max="2" width="52.5703125" bestFit="1" customWidth="1"/>
    <col min="4" max="4" width="28.85546875" bestFit="1" customWidth="1"/>
  </cols>
  <sheetData>
    <row r="1" spans="1:9" x14ac:dyDescent="0.25">
      <c r="A1">
        <v>1</v>
      </c>
      <c r="B1" t="s">
        <v>235</v>
      </c>
    </row>
    <row r="2" spans="1:9" x14ac:dyDescent="0.25">
      <c r="A2">
        <v>1</v>
      </c>
      <c r="B2" t="s">
        <v>227</v>
      </c>
    </row>
    <row r="3" spans="1:9" x14ac:dyDescent="0.25">
      <c r="A3">
        <v>2</v>
      </c>
      <c r="B3" t="s">
        <v>228</v>
      </c>
    </row>
    <row r="4" spans="1:9" x14ac:dyDescent="0.25">
      <c r="A4">
        <v>3</v>
      </c>
      <c r="B4" t="s">
        <v>234</v>
      </c>
      <c r="D4" t="s">
        <v>236</v>
      </c>
      <c r="E4">
        <v>1419</v>
      </c>
      <c r="F4" t="s">
        <v>369</v>
      </c>
      <c r="G4" s="47">
        <f>((2*100.01)+67)</f>
        <v>267.02</v>
      </c>
      <c r="H4" s="47"/>
    </row>
    <row r="5" spans="1:9" x14ac:dyDescent="0.25">
      <c r="A5">
        <v>4</v>
      </c>
      <c r="B5" t="s">
        <v>229</v>
      </c>
      <c r="E5">
        <v>1423</v>
      </c>
      <c r="F5" t="s">
        <v>370</v>
      </c>
      <c r="G5">
        <v>62</v>
      </c>
    </row>
    <row r="6" spans="1:9" x14ac:dyDescent="0.25">
      <c r="A6">
        <v>5</v>
      </c>
      <c r="B6" t="s">
        <v>230</v>
      </c>
      <c r="G6">
        <f>SUM(G4:G5)</f>
        <v>329.02</v>
      </c>
      <c r="H6">
        <f>((G6/100.01)/2)/3</f>
        <v>0.54831183548311835</v>
      </c>
    </row>
    <row r="7" spans="1:9" x14ac:dyDescent="0.25">
      <c r="A7">
        <v>6</v>
      </c>
      <c r="B7" t="s">
        <v>231</v>
      </c>
    </row>
    <row r="8" spans="1:9" x14ac:dyDescent="0.25">
      <c r="A8">
        <v>7</v>
      </c>
      <c r="B8" t="s">
        <v>232</v>
      </c>
      <c r="F8">
        <v>65</v>
      </c>
    </row>
    <row r="9" spans="1:9" x14ac:dyDescent="0.25">
      <c r="A9">
        <v>8</v>
      </c>
      <c r="B9" t="s">
        <v>233</v>
      </c>
    </row>
    <row r="11" spans="1:9" x14ac:dyDescent="0.25">
      <c r="F11">
        <v>3</v>
      </c>
      <c r="G11">
        <v>16</v>
      </c>
      <c r="H11">
        <v>7</v>
      </c>
    </row>
    <row r="12" spans="1:9" x14ac:dyDescent="0.25">
      <c r="F12">
        <f>(76/2)</f>
        <v>38</v>
      </c>
    </row>
    <row r="14" spans="1:9" x14ac:dyDescent="0.25">
      <c r="B14" t="s">
        <v>397</v>
      </c>
      <c r="C14" t="s">
        <v>396</v>
      </c>
      <c r="F14" t="s">
        <v>305</v>
      </c>
      <c r="G14" t="s">
        <v>307</v>
      </c>
      <c r="H14" t="s">
        <v>306</v>
      </c>
      <c r="I14" t="s">
        <v>307</v>
      </c>
    </row>
    <row r="15" spans="1:9" x14ac:dyDescent="0.25">
      <c r="F15">
        <v>1</v>
      </c>
      <c r="G15">
        <v>0.21820000000000001</v>
      </c>
      <c r="H15">
        <v>1</v>
      </c>
      <c r="I15">
        <v>100.01</v>
      </c>
    </row>
  </sheetData>
  <pageMargins left="0.7" right="0.7" top="0.75" bottom="0.75" header="0.3" footer="0.3"/>
  <pageSetup paperSize="9" orientation="portrait" verticalDpi="0" r:id="rId1"/>
  <headerFooter>
    <oddHeader>&amp;C&amp;"Cambria"&amp;11&amp;K1AFF96 Classification | INTERNAL</oddHeader>
    <oddFooter>&amp;C&amp;"Cambria"&amp;11&amp;K1AFF96 Classification |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zoomScaleNormal="100" workbookViewId="0">
      <pane ySplit="4" topLeftCell="A18" activePane="bottomLeft" state="frozen"/>
      <selection pane="bottomLeft" activeCell="K4" sqref="K4"/>
    </sheetView>
  </sheetViews>
  <sheetFormatPr defaultRowHeight="15" x14ac:dyDescent="0.25"/>
  <cols>
    <col min="1" max="1" width="5.42578125" style="2" bestFit="1" customWidth="1"/>
    <col min="2" max="2" width="11.140625" style="2" bestFit="1" customWidth="1"/>
    <col min="3" max="3" width="10.28515625" style="2" bestFit="1" customWidth="1"/>
    <col min="4" max="4" width="8.140625" style="2" bestFit="1" customWidth="1"/>
    <col min="5" max="7" width="9.140625" style="2"/>
    <col min="8" max="8" width="16.7109375" customWidth="1"/>
    <col min="9" max="9" width="19" customWidth="1"/>
    <col min="10" max="10" width="29.85546875" customWidth="1"/>
  </cols>
  <sheetData>
    <row r="1" spans="1:11" s="1" customFormat="1" x14ac:dyDescent="0.25">
      <c r="A1" s="150" t="s">
        <v>245</v>
      </c>
      <c r="B1" s="150"/>
      <c r="C1" s="150"/>
      <c r="D1" s="150"/>
      <c r="E1" s="150"/>
      <c r="F1" s="150"/>
      <c r="G1" s="150"/>
      <c r="H1" s="150"/>
      <c r="I1" s="150"/>
    </row>
    <row r="2" spans="1:11" s="1" customFormat="1" x14ac:dyDescent="0.25">
      <c r="A2" s="151" t="s">
        <v>246</v>
      </c>
      <c r="B2" s="151"/>
      <c r="C2" s="151"/>
      <c r="D2" s="151"/>
      <c r="E2" s="151"/>
      <c r="F2" s="151"/>
      <c r="G2" s="151"/>
      <c r="H2" s="151"/>
      <c r="I2" s="151"/>
    </row>
    <row r="3" spans="1:11" x14ac:dyDescent="0.25">
      <c r="D3" s="5" t="s">
        <v>240</v>
      </c>
      <c r="E3" s="5" t="s">
        <v>240</v>
      </c>
      <c r="F3" s="5" t="s">
        <v>240</v>
      </c>
      <c r="G3" s="5" t="s">
        <v>240</v>
      </c>
      <c r="H3" s="5"/>
      <c r="J3" s="76" t="s">
        <v>254</v>
      </c>
      <c r="K3" s="72"/>
    </row>
    <row r="4" spans="1:11" s="1" customFormat="1" x14ac:dyDescent="0.25">
      <c r="A4" s="5" t="s">
        <v>238</v>
      </c>
      <c r="B4" s="5" t="s">
        <v>237</v>
      </c>
      <c r="C4" s="5" t="s">
        <v>239</v>
      </c>
      <c r="D4" s="5" t="s">
        <v>241</v>
      </c>
      <c r="E4" s="5" t="s">
        <v>242</v>
      </c>
      <c r="F4" s="5" t="s">
        <v>243</v>
      </c>
      <c r="G4" s="5" t="s">
        <v>244</v>
      </c>
      <c r="H4" s="5" t="s">
        <v>247</v>
      </c>
      <c r="I4" s="73" t="s">
        <v>252</v>
      </c>
      <c r="J4" s="78" t="s">
        <v>3</v>
      </c>
    </row>
    <row r="5" spans="1:11" ht="90" x14ac:dyDescent="0.25">
      <c r="A5" s="11">
        <v>1</v>
      </c>
      <c r="B5" s="11">
        <v>707</v>
      </c>
      <c r="C5" s="11">
        <v>2014</v>
      </c>
      <c r="D5" s="11">
        <v>0</v>
      </c>
      <c r="E5" s="11">
        <v>11</v>
      </c>
      <c r="F5" s="11">
        <v>9</v>
      </c>
      <c r="G5" s="11">
        <v>0</v>
      </c>
      <c r="H5" s="77" t="s">
        <v>255</v>
      </c>
      <c r="I5" s="75" t="s">
        <v>253</v>
      </c>
      <c r="J5" s="79" t="s">
        <v>73</v>
      </c>
    </row>
    <row r="6" spans="1:11" ht="34.5" x14ac:dyDescent="0.25">
      <c r="A6" s="11">
        <v>2</v>
      </c>
      <c r="B6" s="11">
        <v>735</v>
      </c>
      <c r="C6" s="11">
        <v>2014</v>
      </c>
      <c r="D6" s="11">
        <v>0</v>
      </c>
      <c r="E6" s="11">
        <v>11</v>
      </c>
      <c r="F6" s="11">
        <v>14</v>
      </c>
      <c r="G6" s="11">
        <v>0</v>
      </c>
      <c r="H6" s="77" t="s">
        <v>255</v>
      </c>
      <c r="I6" s="6"/>
      <c r="J6" s="79" t="s">
        <v>100</v>
      </c>
    </row>
    <row r="7" spans="1:11" ht="23.25" x14ac:dyDescent="0.25">
      <c r="A7" s="11">
        <v>3</v>
      </c>
      <c r="B7" s="11">
        <v>767</v>
      </c>
      <c r="C7" s="11">
        <v>1985</v>
      </c>
      <c r="D7" s="11">
        <v>0</v>
      </c>
      <c r="E7" s="11">
        <v>5</v>
      </c>
      <c r="F7" s="11">
        <v>19</v>
      </c>
      <c r="G7" s="11">
        <v>0</v>
      </c>
      <c r="H7" s="77" t="s">
        <v>256</v>
      </c>
      <c r="I7" s="6"/>
      <c r="J7" s="79" t="s">
        <v>92</v>
      </c>
    </row>
    <row r="8" spans="1:11" ht="23.25" x14ac:dyDescent="0.25">
      <c r="A8" s="11">
        <v>4</v>
      </c>
      <c r="B8" s="11">
        <v>790</v>
      </c>
      <c r="C8" s="11">
        <v>2014</v>
      </c>
      <c r="D8" s="11">
        <v>0</v>
      </c>
      <c r="E8" s="11">
        <v>12</v>
      </c>
      <c r="F8" s="11">
        <v>12</v>
      </c>
      <c r="G8" s="11">
        <v>0</v>
      </c>
      <c r="H8" s="77" t="s">
        <v>256</v>
      </c>
      <c r="I8" s="6"/>
      <c r="J8" s="80" t="s">
        <v>71</v>
      </c>
    </row>
    <row r="9" spans="1:11" ht="23.25" x14ac:dyDescent="0.25">
      <c r="A9" s="11">
        <v>5</v>
      </c>
      <c r="B9" s="11">
        <v>792</v>
      </c>
      <c r="C9" s="11">
        <v>2014</v>
      </c>
      <c r="D9" s="11">
        <v>1</v>
      </c>
      <c r="E9" s="11">
        <v>3</v>
      </c>
      <c r="F9" s="11">
        <v>3</v>
      </c>
      <c r="G9" s="11">
        <v>0</v>
      </c>
      <c r="H9" s="77" t="s">
        <v>256</v>
      </c>
      <c r="I9" s="6"/>
      <c r="J9" s="79" t="s">
        <v>67</v>
      </c>
    </row>
    <row r="10" spans="1:11" ht="23.25" x14ac:dyDescent="0.25">
      <c r="A10" s="11">
        <v>6</v>
      </c>
      <c r="B10" s="11">
        <v>1007</v>
      </c>
      <c r="C10" s="11">
        <v>1892</v>
      </c>
      <c r="D10" s="11">
        <v>3</v>
      </c>
      <c r="E10" s="11">
        <v>16</v>
      </c>
      <c r="F10" s="11">
        <v>7</v>
      </c>
      <c r="G10" s="11">
        <v>0</v>
      </c>
      <c r="H10" s="77" t="s">
        <v>248</v>
      </c>
      <c r="I10" s="6"/>
      <c r="J10" s="79" t="s">
        <v>48</v>
      </c>
    </row>
    <row r="11" spans="1:11" x14ac:dyDescent="0.25">
      <c r="A11" s="11">
        <v>7</v>
      </c>
      <c r="B11" s="11">
        <v>1179</v>
      </c>
      <c r="C11" s="11">
        <v>2014</v>
      </c>
      <c r="D11" s="11">
        <v>0</v>
      </c>
      <c r="E11" s="11">
        <v>4</v>
      </c>
      <c r="F11" s="11">
        <v>7</v>
      </c>
      <c r="G11" s="11">
        <v>0</v>
      </c>
      <c r="H11" s="77" t="s">
        <v>251</v>
      </c>
      <c r="I11" s="6"/>
      <c r="J11" s="79" t="s">
        <v>69</v>
      </c>
    </row>
    <row r="12" spans="1:11" x14ac:dyDescent="0.25">
      <c r="A12" s="11">
        <v>8</v>
      </c>
      <c r="B12" s="11">
        <v>1187</v>
      </c>
      <c r="C12" s="11">
        <v>1889</v>
      </c>
      <c r="D12" s="11">
        <v>0</v>
      </c>
      <c r="E12" s="11">
        <v>2</v>
      </c>
      <c r="F12" s="11">
        <v>15</v>
      </c>
      <c r="G12" s="11">
        <v>0</v>
      </c>
      <c r="H12" s="77">
        <v>1583</v>
      </c>
      <c r="I12" s="6"/>
      <c r="J12" s="79" t="s">
        <v>90</v>
      </c>
    </row>
    <row r="13" spans="1:11" x14ac:dyDescent="0.25">
      <c r="A13" s="11">
        <v>9</v>
      </c>
      <c r="B13" s="11">
        <v>1189</v>
      </c>
      <c r="C13" s="11">
        <v>2039</v>
      </c>
      <c r="D13" s="11">
        <v>0</v>
      </c>
      <c r="E13" s="11">
        <v>2</v>
      </c>
      <c r="F13" s="11">
        <v>6</v>
      </c>
      <c r="G13" s="11">
        <v>0</v>
      </c>
      <c r="H13" s="77">
        <v>1585</v>
      </c>
      <c r="I13" s="6"/>
      <c r="J13" s="79" t="s">
        <v>96</v>
      </c>
    </row>
    <row r="14" spans="1:11" x14ac:dyDescent="0.25">
      <c r="A14" s="11">
        <v>10</v>
      </c>
      <c r="B14" s="11">
        <v>1190</v>
      </c>
      <c r="C14" s="11">
        <v>1889</v>
      </c>
      <c r="D14" s="11">
        <v>0</v>
      </c>
      <c r="E14" s="11">
        <v>6</v>
      </c>
      <c r="F14" s="11">
        <v>0</v>
      </c>
      <c r="G14" s="11">
        <v>0</v>
      </c>
      <c r="H14" s="77" t="s">
        <v>249</v>
      </c>
      <c r="I14" s="6"/>
      <c r="J14" s="79" t="s">
        <v>90</v>
      </c>
    </row>
    <row r="15" spans="1:11" ht="23.25" x14ac:dyDescent="0.25">
      <c r="A15" s="11">
        <v>11</v>
      </c>
      <c r="B15" s="11">
        <v>1246</v>
      </c>
      <c r="C15" s="11">
        <v>2014</v>
      </c>
      <c r="D15" s="11">
        <v>0</v>
      </c>
      <c r="E15" s="11">
        <v>2</v>
      </c>
      <c r="F15" s="11">
        <v>15</v>
      </c>
      <c r="G15" s="11">
        <v>0</v>
      </c>
      <c r="H15" s="77" t="s">
        <v>250</v>
      </c>
      <c r="I15" s="6"/>
      <c r="J15" s="79" t="s">
        <v>75</v>
      </c>
    </row>
    <row r="16" spans="1:11" ht="23.25" x14ac:dyDescent="0.25">
      <c r="A16" s="11">
        <v>12</v>
      </c>
      <c r="B16" s="11">
        <v>1247</v>
      </c>
      <c r="C16" s="11">
        <v>1993</v>
      </c>
      <c r="D16" s="11">
        <v>0</v>
      </c>
      <c r="E16" s="11">
        <v>3</v>
      </c>
      <c r="F16" s="11">
        <v>9</v>
      </c>
      <c r="G16" s="11">
        <v>0</v>
      </c>
      <c r="H16" s="77" t="s">
        <v>250</v>
      </c>
      <c r="I16" s="6"/>
      <c r="J16" s="79" t="s">
        <v>75</v>
      </c>
    </row>
    <row r="17" spans="1:10" ht="23.25" x14ac:dyDescent="0.25">
      <c r="A17" s="11">
        <v>13</v>
      </c>
      <c r="B17" s="11">
        <v>1248</v>
      </c>
      <c r="C17" s="11">
        <v>2014</v>
      </c>
      <c r="D17" s="11">
        <v>0</v>
      </c>
      <c r="E17" s="11">
        <v>3</v>
      </c>
      <c r="F17" s="11">
        <v>13</v>
      </c>
      <c r="G17" s="11">
        <v>0</v>
      </c>
      <c r="H17" s="77" t="s">
        <v>250</v>
      </c>
      <c r="I17" s="6"/>
      <c r="J17" s="79" t="s">
        <v>75</v>
      </c>
    </row>
    <row r="18" spans="1:10" ht="23.25" x14ac:dyDescent="0.25">
      <c r="A18" s="11">
        <v>14</v>
      </c>
      <c r="B18" s="11">
        <v>1249</v>
      </c>
      <c r="C18" s="11">
        <v>2033</v>
      </c>
      <c r="D18" s="11">
        <v>0</v>
      </c>
      <c r="E18" s="11">
        <v>0</v>
      </c>
      <c r="F18" s="11">
        <v>18</v>
      </c>
      <c r="G18" s="11">
        <v>0</v>
      </c>
      <c r="H18" s="77" t="s">
        <v>250</v>
      </c>
      <c r="I18" s="6"/>
      <c r="J18" s="79" t="s">
        <v>75</v>
      </c>
    </row>
    <row r="19" spans="1:10" x14ac:dyDescent="0.25">
      <c r="A19" s="11">
        <v>15</v>
      </c>
      <c r="B19" s="11">
        <v>7445</v>
      </c>
      <c r="C19" s="11">
        <v>2014</v>
      </c>
      <c r="D19" s="11">
        <v>0</v>
      </c>
      <c r="E19" s="11">
        <v>5</v>
      </c>
      <c r="F19" s="11">
        <v>1</v>
      </c>
      <c r="G19" s="11">
        <v>0</v>
      </c>
      <c r="H19" s="11"/>
      <c r="I19" s="6"/>
      <c r="J19" s="79" t="s">
        <v>100</v>
      </c>
    </row>
    <row r="20" spans="1:10" x14ac:dyDescent="0.25">
      <c r="A20" s="11">
        <v>16</v>
      </c>
      <c r="B20" s="11">
        <v>7528</v>
      </c>
      <c r="C20" s="11">
        <v>1993</v>
      </c>
      <c r="D20" s="11">
        <v>0</v>
      </c>
      <c r="E20" s="11">
        <v>2</v>
      </c>
      <c r="F20" s="11">
        <v>15</v>
      </c>
      <c r="G20" s="11">
        <v>0</v>
      </c>
      <c r="H20" s="11"/>
      <c r="I20" s="6"/>
      <c r="J20" s="79" t="s">
        <v>83</v>
      </c>
    </row>
    <row r="21" spans="1:10" x14ac:dyDescent="0.25">
      <c r="A21" s="11">
        <v>17</v>
      </c>
      <c r="B21" s="11">
        <v>7529</v>
      </c>
      <c r="C21" s="11">
        <v>1993</v>
      </c>
      <c r="D21" s="11">
        <v>0</v>
      </c>
      <c r="E21" s="11">
        <v>0</v>
      </c>
      <c r="F21" s="11">
        <v>18</v>
      </c>
      <c r="G21" s="11">
        <v>0</v>
      </c>
      <c r="H21" s="11"/>
      <c r="I21" s="6"/>
      <c r="J21" s="79" t="s">
        <v>83</v>
      </c>
    </row>
    <row r="22" spans="1:10" x14ac:dyDescent="0.25">
      <c r="A22" s="11">
        <v>18</v>
      </c>
      <c r="B22" s="11">
        <v>7530</v>
      </c>
      <c r="C22" s="11">
        <v>1993</v>
      </c>
      <c r="D22" s="11">
        <v>0</v>
      </c>
      <c r="E22" s="11">
        <v>1</v>
      </c>
      <c r="F22" s="11">
        <v>12</v>
      </c>
      <c r="G22" s="11">
        <v>0</v>
      </c>
      <c r="H22" s="11"/>
      <c r="I22" s="6"/>
      <c r="J22" s="79" t="s">
        <v>83</v>
      </c>
    </row>
    <row r="23" spans="1:10" x14ac:dyDescent="0.25">
      <c r="A23" s="11">
        <v>19</v>
      </c>
      <c r="B23" s="11">
        <v>7545</v>
      </c>
      <c r="C23" s="11">
        <v>1839</v>
      </c>
      <c r="D23" s="11">
        <v>0</v>
      </c>
      <c r="E23" s="11">
        <v>2</v>
      </c>
      <c r="F23" s="11">
        <v>15</v>
      </c>
      <c r="G23" s="11">
        <v>0</v>
      </c>
      <c r="H23" s="11"/>
      <c r="I23" s="6"/>
      <c r="J23" s="81" t="s">
        <v>33</v>
      </c>
    </row>
    <row r="24" spans="1:10" x14ac:dyDescent="0.25">
      <c r="A24" s="11">
        <v>20</v>
      </c>
      <c r="B24" s="11">
        <v>7546</v>
      </c>
      <c r="C24" s="11">
        <v>1777</v>
      </c>
      <c r="D24" s="11">
        <v>0</v>
      </c>
      <c r="E24" s="11">
        <v>3</v>
      </c>
      <c r="F24" s="11">
        <v>4</v>
      </c>
      <c r="G24" s="11">
        <v>0</v>
      </c>
      <c r="H24" s="11"/>
      <c r="I24" s="6"/>
      <c r="J24" s="81" t="s">
        <v>33</v>
      </c>
    </row>
    <row r="25" spans="1:10" x14ac:dyDescent="0.25">
      <c r="A25" s="11">
        <v>21</v>
      </c>
      <c r="B25" s="11">
        <v>7566</v>
      </c>
      <c r="C25" s="11">
        <v>1886</v>
      </c>
      <c r="D25" s="11">
        <v>0</v>
      </c>
      <c r="E25" s="11">
        <v>0</v>
      </c>
      <c r="F25" s="11">
        <v>18</v>
      </c>
      <c r="G25" s="11">
        <v>0</v>
      </c>
      <c r="H25" s="11"/>
      <c r="I25" s="6"/>
      <c r="J25" s="79" t="s">
        <v>56</v>
      </c>
    </row>
    <row r="26" spans="1:10" x14ac:dyDescent="0.25">
      <c r="A26" s="11">
        <v>22</v>
      </c>
      <c r="B26" s="11">
        <v>7572</v>
      </c>
      <c r="C26" s="11">
        <v>1886</v>
      </c>
      <c r="D26" s="11">
        <v>0</v>
      </c>
      <c r="E26" s="11">
        <v>1</v>
      </c>
      <c r="F26" s="11">
        <v>3</v>
      </c>
      <c r="G26" s="11">
        <v>0</v>
      </c>
      <c r="H26" s="11"/>
      <c r="I26" s="6"/>
      <c r="J26" s="79" t="s">
        <v>56</v>
      </c>
    </row>
    <row r="27" spans="1:10" x14ac:dyDescent="0.25">
      <c r="A27" s="11">
        <v>23</v>
      </c>
      <c r="B27" s="11">
        <v>7574</v>
      </c>
      <c r="C27" s="11">
        <v>1886</v>
      </c>
      <c r="D27" s="11">
        <v>0</v>
      </c>
      <c r="E27" s="11">
        <v>1</v>
      </c>
      <c r="F27" s="11">
        <v>3</v>
      </c>
      <c r="G27" s="11">
        <v>0</v>
      </c>
      <c r="H27" s="11"/>
      <c r="I27" s="6"/>
      <c r="J27" s="79" t="s">
        <v>56</v>
      </c>
    </row>
    <row r="28" spans="1:10" x14ac:dyDescent="0.25">
      <c r="A28" s="11">
        <v>24</v>
      </c>
      <c r="B28" s="11">
        <v>7575</v>
      </c>
      <c r="C28" s="11">
        <v>1886</v>
      </c>
      <c r="D28" s="11">
        <v>0</v>
      </c>
      <c r="E28" s="11">
        <v>0</v>
      </c>
      <c r="F28" s="11">
        <v>9</v>
      </c>
      <c r="G28" s="11">
        <v>0</v>
      </c>
      <c r="H28" s="11"/>
      <c r="I28" s="6"/>
      <c r="J28" s="79" t="s">
        <v>56</v>
      </c>
    </row>
    <row r="29" spans="1:10" x14ac:dyDescent="0.25">
      <c r="A29" s="11">
        <v>25</v>
      </c>
      <c r="B29" s="11">
        <v>7576</v>
      </c>
      <c r="C29" s="11">
        <v>1867</v>
      </c>
      <c r="D29" s="11">
        <v>0</v>
      </c>
      <c r="E29" s="11">
        <v>1</v>
      </c>
      <c r="F29" s="11">
        <v>7</v>
      </c>
      <c r="G29" s="11">
        <v>0</v>
      </c>
      <c r="H29" s="11"/>
      <c r="I29" s="6"/>
      <c r="J29" s="81" t="s">
        <v>33</v>
      </c>
    </row>
    <row r="30" spans="1:10" x14ac:dyDescent="0.25">
      <c r="A30" s="11">
        <v>26</v>
      </c>
      <c r="B30" s="11">
        <v>7577</v>
      </c>
      <c r="C30" s="11">
        <v>1867</v>
      </c>
      <c r="D30" s="11">
        <v>0</v>
      </c>
      <c r="E30" s="11">
        <v>0</v>
      </c>
      <c r="F30" s="11">
        <v>18</v>
      </c>
      <c r="G30" s="11">
        <v>0</v>
      </c>
      <c r="H30" s="11"/>
      <c r="I30" s="6"/>
      <c r="J30" s="81" t="s">
        <v>33</v>
      </c>
    </row>
    <row r="31" spans="1:10" x14ac:dyDescent="0.25">
      <c r="A31" s="11">
        <v>27</v>
      </c>
      <c r="B31" s="11">
        <v>7586</v>
      </c>
      <c r="C31" s="11">
        <v>1886</v>
      </c>
      <c r="D31" s="11">
        <v>0</v>
      </c>
      <c r="E31" s="11">
        <v>0</v>
      </c>
      <c r="F31" s="11">
        <v>5</v>
      </c>
      <c r="G31" s="11">
        <v>0</v>
      </c>
      <c r="H31" s="11"/>
      <c r="I31" s="6"/>
      <c r="J31" s="79" t="s">
        <v>56</v>
      </c>
    </row>
    <row r="32" spans="1:10" x14ac:dyDescent="0.25">
      <c r="A32" s="11">
        <v>28</v>
      </c>
      <c r="B32" s="11">
        <v>7637</v>
      </c>
      <c r="C32" s="11">
        <v>1796</v>
      </c>
      <c r="D32" s="11">
        <v>0</v>
      </c>
      <c r="E32" s="11">
        <v>4</v>
      </c>
      <c r="F32" s="11">
        <v>16</v>
      </c>
      <c r="G32" s="11">
        <v>0</v>
      </c>
      <c r="H32" s="11"/>
      <c r="I32" s="6"/>
      <c r="J32" s="79" t="s">
        <v>55</v>
      </c>
    </row>
    <row r="33" spans="1:10" x14ac:dyDescent="0.25">
      <c r="A33" s="11">
        <v>29</v>
      </c>
      <c r="B33" s="11">
        <v>7641</v>
      </c>
      <c r="C33" s="11">
        <v>1796</v>
      </c>
      <c r="D33" s="11">
        <v>0</v>
      </c>
      <c r="E33" s="11">
        <v>0</v>
      </c>
      <c r="F33" s="11">
        <v>9</v>
      </c>
      <c r="G33" s="11">
        <v>0</v>
      </c>
      <c r="H33" s="11"/>
      <c r="I33" s="6"/>
      <c r="J33" s="79" t="s">
        <v>55</v>
      </c>
    </row>
    <row r="34" spans="1:10" x14ac:dyDescent="0.25">
      <c r="A34" s="11">
        <v>30</v>
      </c>
      <c r="B34" s="11">
        <v>7642</v>
      </c>
      <c r="C34" s="11">
        <v>1796</v>
      </c>
      <c r="D34" s="11">
        <v>0</v>
      </c>
      <c r="E34" s="11">
        <v>3</v>
      </c>
      <c r="F34" s="11">
        <v>0</v>
      </c>
      <c r="G34" s="11">
        <v>0</v>
      </c>
      <c r="H34" s="11"/>
      <c r="I34" s="6"/>
      <c r="J34" s="79" t="s">
        <v>55</v>
      </c>
    </row>
    <row r="35" spans="1:10" x14ac:dyDescent="0.25">
      <c r="A35" s="11">
        <v>31</v>
      </c>
      <c r="B35" s="11">
        <v>7643</v>
      </c>
      <c r="C35" s="11">
        <v>1872</v>
      </c>
      <c r="D35" s="11">
        <v>0</v>
      </c>
      <c r="E35" s="11">
        <v>0</v>
      </c>
      <c r="F35" s="11">
        <v>5</v>
      </c>
      <c r="G35" s="11">
        <v>0</v>
      </c>
      <c r="H35" s="11"/>
      <c r="I35" s="6"/>
      <c r="J35" s="79" t="s">
        <v>55</v>
      </c>
    </row>
    <row r="36" spans="1:10" x14ac:dyDescent="0.25">
      <c r="A36" s="11">
        <v>32</v>
      </c>
      <c r="B36" s="11">
        <v>7644</v>
      </c>
      <c r="C36" s="11">
        <v>1872</v>
      </c>
      <c r="D36" s="11">
        <v>0</v>
      </c>
      <c r="E36" s="11">
        <v>0</v>
      </c>
      <c r="F36" s="11">
        <v>14</v>
      </c>
      <c r="G36" s="11">
        <v>0</v>
      </c>
      <c r="H36" s="11"/>
      <c r="I36" s="6"/>
      <c r="J36" s="79" t="s">
        <v>55</v>
      </c>
    </row>
    <row r="37" spans="1:10" x14ac:dyDescent="0.25">
      <c r="A37" s="11">
        <v>33</v>
      </c>
      <c r="B37" s="11">
        <v>7789</v>
      </c>
      <c r="C37" s="11">
        <v>1887</v>
      </c>
      <c r="D37" s="11">
        <v>0</v>
      </c>
      <c r="E37" s="11">
        <v>3</v>
      </c>
      <c r="F37" s="11">
        <v>4</v>
      </c>
      <c r="G37" s="11">
        <v>0</v>
      </c>
      <c r="H37" s="11"/>
      <c r="I37" s="6"/>
      <c r="J37" s="79" t="s">
        <v>59</v>
      </c>
    </row>
    <row r="38" spans="1:10" x14ac:dyDescent="0.25">
      <c r="A38" s="11">
        <v>34</v>
      </c>
      <c r="B38" s="11">
        <v>7790</v>
      </c>
      <c r="C38" s="11">
        <v>1887</v>
      </c>
      <c r="D38" s="11">
        <v>0</v>
      </c>
      <c r="E38" s="11">
        <v>0</v>
      </c>
      <c r="F38" s="11">
        <v>18</v>
      </c>
      <c r="G38" s="11">
        <v>0</v>
      </c>
      <c r="H38" s="11"/>
      <c r="I38" s="6"/>
      <c r="J38" s="79" t="s">
        <v>59</v>
      </c>
    </row>
    <row r="39" spans="1:10" ht="30" x14ac:dyDescent="0.25">
      <c r="A39" s="11">
        <v>35</v>
      </c>
      <c r="B39" s="11">
        <v>7792</v>
      </c>
      <c r="C39" s="11">
        <v>2034</v>
      </c>
      <c r="D39" s="11">
        <v>0</v>
      </c>
      <c r="E39" s="11">
        <v>1</v>
      </c>
      <c r="F39" s="11">
        <v>3</v>
      </c>
      <c r="G39" s="11">
        <v>0</v>
      </c>
      <c r="H39" s="11"/>
      <c r="I39" s="6"/>
      <c r="J39" s="79" t="s">
        <v>97</v>
      </c>
    </row>
    <row r="40" spans="1:10" x14ac:dyDescent="0.25">
      <c r="A40" s="11">
        <v>36</v>
      </c>
      <c r="B40" s="11">
        <v>7795</v>
      </c>
      <c r="C40" s="11">
        <v>1773</v>
      </c>
      <c r="D40" s="11">
        <v>0</v>
      </c>
      <c r="E40" s="11">
        <v>0</v>
      </c>
      <c r="F40" s="11">
        <v>14</v>
      </c>
      <c r="G40" s="11">
        <v>0</v>
      </c>
      <c r="H40" s="11"/>
      <c r="I40" s="6"/>
      <c r="J40" s="79" t="s">
        <v>59</v>
      </c>
    </row>
    <row r="41" spans="1:10" x14ac:dyDescent="0.25">
      <c r="A41" s="11">
        <v>37</v>
      </c>
      <c r="B41" s="11">
        <v>7796</v>
      </c>
      <c r="C41" s="11">
        <v>1773</v>
      </c>
      <c r="D41" s="11">
        <v>0</v>
      </c>
      <c r="E41" s="11">
        <v>1</v>
      </c>
      <c r="F41" s="11">
        <v>12</v>
      </c>
      <c r="G41" s="11">
        <v>0</v>
      </c>
      <c r="H41" s="11"/>
      <c r="I41" s="6"/>
      <c r="J41" s="79" t="s">
        <v>45</v>
      </c>
    </row>
    <row r="42" spans="1:10" s="1" customFormat="1" x14ac:dyDescent="0.25">
      <c r="A42" s="71"/>
      <c r="B42" s="71"/>
      <c r="C42" s="71" t="s">
        <v>103</v>
      </c>
      <c r="D42" s="5">
        <v>10</v>
      </c>
      <c r="E42" s="5">
        <v>6</v>
      </c>
      <c r="F42" s="5">
        <v>5</v>
      </c>
      <c r="G42" s="5">
        <v>0</v>
      </c>
      <c r="H42" s="11"/>
      <c r="I42" s="4"/>
      <c r="J42" s="74"/>
    </row>
  </sheetData>
  <mergeCells count="2">
    <mergeCell ref="A1:I1"/>
    <mergeCell ref="A2:I2"/>
  </mergeCells>
  <pageMargins left="0.7" right="0.7" top="0.75" bottom="0.75" header="0.3" footer="0.3"/>
  <pageSetup paperSize="9" orientation="landscape" r:id="rId1"/>
  <headerFooter>
    <oddHeader>&amp;C&amp;"Cambria"&amp;11&amp;K1AFF96 Classification | INTERNAL</oddHeader>
    <oddFooter>&amp;C&amp;"Cambria"&amp;11&amp;K1AFF96 Classification | 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A3" workbookViewId="0">
      <selection activeCell="M16" sqref="M16"/>
    </sheetView>
  </sheetViews>
  <sheetFormatPr defaultRowHeight="15" x14ac:dyDescent="0.25"/>
  <cols>
    <col min="1" max="1" width="10" bestFit="1" customWidth="1"/>
    <col min="2" max="2" width="14.85546875" bestFit="1" customWidth="1"/>
    <col min="3" max="3" width="15.7109375" bestFit="1" customWidth="1"/>
    <col min="4" max="4" width="15.7109375" customWidth="1"/>
    <col min="5" max="5" width="12.7109375" bestFit="1" customWidth="1"/>
    <col min="6" max="6" width="12.5703125" bestFit="1" customWidth="1"/>
    <col min="7" max="7" width="12.140625" bestFit="1" customWidth="1"/>
    <col min="8" max="8" width="12.42578125" bestFit="1" customWidth="1"/>
  </cols>
  <sheetData>
    <row r="1" spans="1:8" x14ac:dyDescent="0.25">
      <c r="A1" s="5" t="s">
        <v>238</v>
      </c>
      <c r="B1" s="5" t="s">
        <v>239</v>
      </c>
      <c r="C1" s="5" t="s">
        <v>237</v>
      </c>
      <c r="D1" s="5"/>
      <c r="E1" s="5" t="s">
        <v>241</v>
      </c>
      <c r="F1" s="5" t="s">
        <v>242</v>
      </c>
      <c r="G1" s="5" t="s">
        <v>243</v>
      </c>
      <c r="H1" s="5" t="s">
        <v>244</v>
      </c>
    </row>
    <row r="2" spans="1:8" x14ac:dyDescent="0.25">
      <c r="A2" s="11">
        <v>1</v>
      </c>
      <c r="B2" s="11">
        <v>2014</v>
      </c>
      <c r="C2" s="11">
        <v>707</v>
      </c>
      <c r="D2" s="11"/>
      <c r="E2" s="11">
        <v>0</v>
      </c>
      <c r="F2" s="11">
        <v>11</v>
      </c>
      <c r="G2" s="11">
        <v>9</v>
      </c>
      <c r="H2" s="11">
        <v>0</v>
      </c>
    </row>
    <row r="3" spans="1:8" x14ac:dyDescent="0.25">
      <c r="A3" s="11">
        <v>2</v>
      </c>
      <c r="B3" s="11">
        <v>2014</v>
      </c>
      <c r="C3" s="11">
        <v>735</v>
      </c>
      <c r="D3" s="11"/>
      <c r="E3" s="11">
        <v>0</v>
      </c>
      <c r="F3" s="11">
        <v>11</v>
      </c>
      <c r="G3" s="11">
        <v>14</v>
      </c>
      <c r="H3" s="11">
        <v>0</v>
      </c>
    </row>
    <row r="4" spans="1:8" x14ac:dyDescent="0.25">
      <c r="A4" s="11">
        <v>3</v>
      </c>
      <c r="B4" s="11">
        <v>1985</v>
      </c>
      <c r="C4" s="11">
        <v>767</v>
      </c>
      <c r="D4" s="11"/>
      <c r="E4" s="11">
        <v>0</v>
      </c>
      <c r="F4" s="11">
        <v>5</v>
      </c>
      <c r="G4" s="11">
        <v>19</v>
      </c>
      <c r="H4" s="11">
        <v>0</v>
      </c>
    </row>
    <row r="5" spans="1:8" x14ac:dyDescent="0.25">
      <c r="A5" s="11">
        <v>4</v>
      </c>
      <c r="B5" s="11">
        <v>2014</v>
      </c>
      <c r="C5" s="11">
        <v>790</v>
      </c>
      <c r="D5" s="11"/>
      <c r="E5" s="11">
        <v>0</v>
      </c>
      <c r="F5" s="11">
        <v>12</v>
      </c>
      <c r="G5" s="11">
        <v>12</v>
      </c>
      <c r="H5" s="11">
        <v>0</v>
      </c>
    </row>
    <row r="6" spans="1:8" x14ac:dyDescent="0.25">
      <c r="A6" s="11">
        <v>5</v>
      </c>
      <c r="B6" s="11">
        <v>2014</v>
      </c>
      <c r="C6" s="11">
        <v>792</v>
      </c>
      <c r="D6" s="11"/>
      <c r="E6" s="11">
        <v>1</v>
      </c>
      <c r="F6" s="11">
        <v>3</v>
      </c>
      <c r="G6" s="11">
        <v>3</v>
      </c>
      <c r="H6" s="11">
        <v>0</v>
      </c>
    </row>
    <row r="7" spans="1:8" x14ac:dyDescent="0.25">
      <c r="A7" s="11">
        <v>6</v>
      </c>
      <c r="B7" s="11">
        <v>1892</v>
      </c>
      <c r="C7" s="11">
        <v>1007</v>
      </c>
      <c r="D7" s="11"/>
      <c r="E7" s="11">
        <v>3</v>
      </c>
      <c r="F7" s="11">
        <v>16</v>
      </c>
      <c r="G7" s="11">
        <v>7</v>
      </c>
      <c r="H7" s="11">
        <v>0</v>
      </c>
    </row>
    <row r="8" spans="1:8" x14ac:dyDescent="0.25">
      <c r="A8" s="11">
        <v>7</v>
      </c>
      <c r="B8" s="11">
        <v>2014</v>
      </c>
      <c r="C8" s="11">
        <v>1179</v>
      </c>
      <c r="D8" s="11"/>
      <c r="E8" s="11">
        <v>0</v>
      </c>
      <c r="F8" s="11">
        <v>4</v>
      </c>
      <c r="G8" s="11">
        <v>7</v>
      </c>
      <c r="H8" s="11">
        <v>0</v>
      </c>
    </row>
    <row r="9" spans="1:8" x14ac:dyDescent="0.25">
      <c r="A9" s="11">
        <v>8</v>
      </c>
      <c r="B9" s="11">
        <v>1889</v>
      </c>
      <c r="C9" s="11">
        <v>1187</v>
      </c>
      <c r="D9" s="11"/>
      <c r="E9" s="11">
        <v>0</v>
      </c>
      <c r="F9" s="11">
        <v>2</v>
      </c>
      <c r="G9" s="11">
        <v>15</v>
      </c>
      <c r="H9" s="11">
        <v>0</v>
      </c>
    </row>
    <row r="10" spans="1:8" x14ac:dyDescent="0.25">
      <c r="A10" s="11">
        <v>9</v>
      </c>
      <c r="B10" s="11">
        <v>2039</v>
      </c>
      <c r="C10" s="11">
        <v>1189</v>
      </c>
      <c r="D10" s="11"/>
      <c r="E10" s="11">
        <v>0</v>
      </c>
      <c r="F10" s="11">
        <v>2</v>
      </c>
      <c r="G10" s="11">
        <v>6</v>
      </c>
      <c r="H10" s="11">
        <v>0</v>
      </c>
    </row>
    <row r="11" spans="1:8" x14ac:dyDescent="0.25">
      <c r="A11" s="11">
        <v>10</v>
      </c>
      <c r="B11" s="11">
        <v>1889</v>
      </c>
      <c r="C11" s="11">
        <v>1190</v>
      </c>
      <c r="D11" s="11"/>
      <c r="E11" s="11">
        <v>0</v>
      </c>
      <c r="F11" s="11">
        <v>6</v>
      </c>
      <c r="G11" s="11">
        <v>0</v>
      </c>
      <c r="H11" s="11">
        <v>0</v>
      </c>
    </row>
    <row r="12" spans="1:8" x14ac:dyDescent="0.25">
      <c r="A12" s="11">
        <v>11</v>
      </c>
      <c r="B12" s="11">
        <v>2014</v>
      </c>
      <c r="C12" s="11">
        <v>1246</v>
      </c>
      <c r="D12" s="11"/>
      <c r="E12" s="11">
        <v>0</v>
      </c>
      <c r="F12" s="11">
        <v>2</v>
      </c>
      <c r="G12" s="11">
        <v>15</v>
      </c>
      <c r="H12" s="11">
        <v>0</v>
      </c>
    </row>
    <row r="13" spans="1:8" x14ac:dyDescent="0.25">
      <c r="A13" s="11">
        <v>12</v>
      </c>
      <c r="B13" s="11">
        <v>1993</v>
      </c>
      <c r="C13" s="11">
        <v>1247</v>
      </c>
      <c r="D13" s="11"/>
      <c r="E13" s="11">
        <v>0</v>
      </c>
      <c r="F13" s="11">
        <v>3</v>
      </c>
      <c r="G13" s="11">
        <v>9</v>
      </c>
      <c r="H13" s="11">
        <v>0</v>
      </c>
    </row>
    <row r="14" spans="1:8" x14ac:dyDescent="0.25">
      <c r="A14" s="11">
        <v>13</v>
      </c>
      <c r="B14" s="11">
        <v>2014</v>
      </c>
      <c r="C14" s="11">
        <v>1248</v>
      </c>
      <c r="D14" s="11"/>
      <c r="E14" s="11">
        <v>0</v>
      </c>
      <c r="F14" s="11">
        <v>3</v>
      </c>
      <c r="G14" s="11">
        <v>13</v>
      </c>
      <c r="H14" s="11">
        <v>0</v>
      </c>
    </row>
    <row r="15" spans="1:8" x14ac:dyDescent="0.25">
      <c r="A15" s="11">
        <v>14</v>
      </c>
      <c r="B15" s="11">
        <v>2033</v>
      </c>
      <c r="C15" s="11">
        <v>1249</v>
      </c>
      <c r="D15" s="11"/>
      <c r="E15" s="11">
        <v>0</v>
      </c>
      <c r="F15" s="11">
        <v>0</v>
      </c>
      <c r="G15" s="11">
        <v>18</v>
      </c>
      <c r="H15" s="11">
        <v>0</v>
      </c>
    </row>
    <row r="16" spans="1:8" x14ac:dyDescent="0.25">
      <c r="A16" s="11">
        <v>15</v>
      </c>
      <c r="B16" s="11">
        <v>2014</v>
      </c>
      <c r="C16" s="11">
        <v>7445</v>
      </c>
      <c r="D16" s="11"/>
      <c r="E16" s="11">
        <v>0</v>
      </c>
      <c r="F16" s="11">
        <v>5</v>
      </c>
      <c r="G16" s="11">
        <v>1</v>
      </c>
      <c r="H16" s="11">
        <v>0</v>
      </c>
    </row>
    <row r="17" spans="1:8" x14ac:dyDescent="0.25">
      <c r="A17" s="11">
        <v>16</v>
      </c>
      <c r="B17" s="11">
        <v>1993</v>
      </c>
      <c r="C17" s="11">
        <v>7528</v>
      </c>
      <c r="D17" s="11"/>
      <c r="E17" s="11">
        <v>0</v>
      </c>
      <c r="F17" s="11">
        <v>2</v>
      </c>
      <c r="G17" s="11">
        <v>15</v>
      </c>
      <c r="H17" s="11">
        <v>0</v>
      </c>
    </row>
    <row r="18" spans="1:8" x14ac:dyDescent="0.25">
      <c r="A18" s="11">
        <v>17</v>
      </c>
      <c r="B18" s="11">
        <v>1993</v>
      </c>
      <c r="C18" s="11">
        <v>7529</v>
      </c>
      <c r="D18" s="11"/>
      <c r="E18" s="11">
        <v>0</v>
      </c>
      <c r="F18" s="11">
        <v>0</v>
      </c>
      <c r="G18" s="11">
        <v>18</v>
      </c>
      <c r="H18" s="11">
        <v>0</v>
      </c>
    </row>
    <row r="19" spans="1:8" x14ac:dyDescent="0.25">
      <c r="A19" s="11">
        <v>18</v>
      </c>
      <c r="B19" s="11">
        <v>1993</v>
      </c>
      <c r="C19" s="11">
        <v>7530</v>
      </c>
      <c r="D19" s="11"/>
      <c r="E19" s="11">
        <v>0</v>
      </c>
      <c r="F19" s="11">
        <v>1</v>
      </c>
      <c r="G19" s="11">
        <v>12</v>
      </c>
      <c r="H19" s="11">
        <v>0</v>
      </c>
    </row>
    <row r="20" spans="1:8" x14ac:dyDescent="0.25">
      <c r="A20" s="11">
        <v>19</v>
      </c>
      <c r="B20" s="11">
        <v>1839</v>
      </c>
      <c r="C20" s="11">
        <v>7545</v>
      </c>
      <c r="D20" s="11"/>
      <c r="E20" s="11">
        <v>0</v>
      </c>
      <c r="F20" s="11">
        <v>2</v>
      </c>
      <c r="G20" s="11">
        <v>15</v>
      </c>
      <c r="H20" s="11">
        <v>0</v>
      </c>
    </row>
    <row r="21" spans="1:8" x14ac:dyDescent="0.25">
      <c r="A21" s="11">
        <v>20</v>
      </c>
      <c r="B21" s="11">
        <v>1777</v>
      </c>
      <c r="C21" s="11">
        <v>7546</v>
      </c>
      <c r="D21" s="11"/>
      <c r="E21" s="11">
        <v>0</v>
      </c>
      <c r="F21" s="11">
        <v>3</v>
      </c>
      <c r="G21" s="11">
        <v>4</v>
      </c>
      <c r="H21" s="11">
        <v>0</v>
      </c>
    </row>
    <row r="22" spans="1:8" x14ac:dyDescent="0.25">
      <c r="A22" s="11">
        <v>21</v>
      </c>
      <c r="B22" s="11">
        <v>1886</v>
      </c>
      <c r="C22" s="11">
        <v>7566</v>
      </c>
      <c r="D22" s="11">
        <v>1867</v>
      </c>
      <c r="E22" s="11">
        <v>0</v>
      </c>
      <c r="F22" s="11">
        <v>0</v>
      </c>
      <c r="G22" s="11">
        <v>18</v>
      </c>
      <c r="H22" s="11">
        <v>0</v>
      </c>
    </row>
    <row r="23" spans="1:8" x14ac:dyDescent="0.25">
      <c r="A23" s="11">
        <v>22</v>
      </c>
      <c r="B23" s="11">
        <v>1886</v>
      </c>
      <c r="C23" s="11">
        <v>7572</v>
      </c>
      <c r="D23" s="11"/>
      <c r="E23" s="11">
        <v>0</v>
      </c>
      <c r="F23" s="11">
        <v>1</v>
      </c>
      <c r="G23" s="11">
        <v>3</v>
      </c>
      <c r="H23" s="11">
        <v>0</v>
      </c>
    </row>
    <row r="24" spans="1:8" x14ac:dyDescent="0.25">
      <c r="A24" s="11">
        <v>23</v>
      </c>
      <c r="B24" s="11">
        <v>1886</v>
      </c>
      <c r="C24" s="11">
        <v>7574</v>
      </c>
      <c r="D24" s="11"/>
      <c r="E24" s="11">
        <v>0</v>
      </c>
      <c r="F24" s="11">
        <v>1</v>
      </c>
      <c r="G24" s="11">
        <v>3</v>
      </c>
      <c r="H24" s="11">
        <v>0</v>
      </c>
    </row>
    <row r="25" spans="1:8" x14ac:dyDescent="0.25">
      <c r="A25" s="11">
        <v>24</v>
      </c>
      <c r="B25" s="11">
        <v>1886</v>
      </c>
      <c r="C25" s="11">
        <v>7575</v>
      </c>
      <c r="D25" s="11"/>
      <c r="E25" s="11">
        <v>0</v>
      </c>
      <c r="F25" s="11">
        <v>0</v>
      </c>
      <c r="G25" s="11">
        <v>9</v>
      </c>
      <c r="H25" s="11">
        <v>0</v>
      </c>
    </row>
    <row r="26" spans="1:8" x14ac:dyDescent="0.25">
      <c r="A26" s="11">
        <v>25</v>
      </c>
      <c r="B26" s="11">
        <v>1867</v>
      </c>
      <c r="C26" s="11">
        <v>7576</v>
      </c>
      <c r="D26" s="11">
        <v>1867</v>
      </c>
      <c r="E26" s="11">
        <v>0</v>
      </c>
      <c r="F26" s="11">
        <v>1</v>
      </c>
      <c r="G26" s="11">
        <v>7</v>
      </c>
      <c r="H26" s="11">
        <v>0</v>
      </c>
    </row>
    <row r="27" spans="1:8" x14ac:dyDescent="0.25">
      <c r="A27" s="11">
        <v>26</v>
      </c>
      <c r="B27" s="11">
        <v>1867</v>
      </c>
      <c r="C27" s="11">
        <v>7577</v>
      </c>
      <c r="D27" s="11"/>
      <c r="E27" s="11">
        <v>0</v>
      </c>
      <c r="F27" s="11">
        <v>0</v>
      </c>
      <c r="G27" s="11">
        <v>18</v>
      </c>
      <c r="H27" s="11">
        <v>0</v>
      </c>
    </row>
    <row r="28" spans="1:8" x14ac:dyDescent="0.25">
      <c r="A28" s="11">
        <v>27</v>
      </c>
      <c r="B28" s="11">
        <v>1886</v>
      </c>
      <c r="C28" s="11">
        <v>7586</v>
      </c>
      <c r="D28" s="11"/>
      <c r="E28" s="11">
        <v>0</v>
      </c>
      <c r="F28" s="11">
        <v>0</v>
      </c>
      <c r="G28" s="11">
        <v>5</v>
      </c>
      <c r="H28" s="11">
        <v>0</v>
      </c>
    </row>
    <row r="29" spans="1:8" x14ac:dyDescent="0.25">
      <c r="A29" s="11">
        <v>28</v>
      </c>
      <c r="B29" s="11">
        <v>1796</v>
      </c>
      <c r="C29" s="11">
        <v>7637</v>
      </c>
      <c r="D29" s="11"/>
      <c r="E29" s="11">
        <v>0</v>
      </c>
      <c r="F29" s="11">
        <v>4</v>
      </c>
      <c r="G29" s="11">
        <v>16</v>
      </c>
      <c r="H29" s="11">
        <v>0</v>
      </c>
    </row>
    <row r="30" spans="1:8" x14ac:dyDescent="0.25">
      <c r="A30" s="11">
        <v>29</v>
      </c>
      <c r="B30" s="11">
        <v>1796</v>
      </c>
      <c r="C30" s="11">
        <v>7641</v>
      </c>
      <c r="D30" s="11"/>
      <c r="E30" s="11">
        <v>0</v>
      </c>
      <c r="F30" s="11">
        <v>0</v>
      </c>
      <c r="G30" s="11">
        <v>9</v>
      </c>
      <c r="H30" s="11">
        <v>0</v>
      </c>
    </row>
    <row r="31" spans="1:8" x14ac:dyDescent="0.25">
      <c r="A31" s="11">
        <v>30</v>
      </c>
      <c r="B31" s="11">
        <v>1796</v>
      </c>
      <c r="C31" s="11">
        <v>7642</v>
      </c>
      <c r="D31" s="11"/>
      <c r="E31" s="11">
        <v>0</v>
      </c>
      <c r="F31" s="11">
        <v>3</v>
      </c>
      <c r="G31" s="11">
        <v>0</v>
      </c>
      <c r="H31" s="11">
        <v>0</v>
      </c>
    </row>
    <row r="32" spans="1:8" x14ac:dyDescent="0.25">
      <c r="A32" s="11">
        <v>31</v>
      </c>
      <c r="B32" s="11">
        <v>1872</v>
      </c>
      <c r="C32" s="11">
        <v>7643</v>
      </c>
      <c r="D32" s="11"/>
      <c r="E32" s="11">
        <v>0</v>
      </c>
      <c r="F32" s="11">
        <v>0</v>
      </c>
      <c r="G32" s="11">
        <v>5</v>
      </c>
      <c r="H32" s="11">
        <v>0</v>
      </c>
    </row>
    <row r="33" spans="1:8" x14ac:dyDescent="0.25">
      <c r="A33" s="11">
        <v>32</v>
      </c>
      <c r="B33" s="11">
        <v>1872</v>
      </c>
      <c r="C33" s="11">
        <v>7644</v>
      </c>
      <c r="D33" s="11"/>
      <c r="E33" s="11">
        <v>0</v>
      </c>
      <c r="F33" s="11">
        <v>0</v>
      </c>
      <c r="G33" s="11">
        <v>14</v>
      </c>
      <c r="H33" s="11">
        <v>0</v>
      </c>
    </row>
    <row r="34" spans="1:8" x14ac:dyDescent="0.25">
      <c r="A34" s="11">
        <v>33</v>
      </c>
      <c r="B34" s="11">
        <v>1887</v>
      </c>
      <c r="C34" s="11">
        <v>7789</v>
      </c>
      <c r="D34" s="11"/>
      <c r="E34" s="11">
        <v>0</v>
      </c>
      <c r="F34" s="11">
        <v>3</v>
      </c>
      <c r="G34" s="11">
        <v>4</v>
      </c>
      <c r="H34" s="11">
        <v>0</v>
      </c>
    </row>
    <row r="35" spans="1:8" x14ac:dyDescent="0.25">
      <c r="A35" s="11">
        <v>34</v>
      </c>
      <c r="B35" s="11">
        <v>1887</v>
      </c>
      <c r="C35" s="11">
        <v>7790</v>
      </c>
      <c r="D35" s="11"/>
      <c r="E35" s="11">
        <v>0</v>
      </c>
      <c r="F35" s="11">
        <v>0</v>
      </c>
      <c r="G35" s="11">
        <v>18</v>
      </c>
      <c r="H35" s="11">
        <v>0</v>
      </c>
    </row>
    <row r="36" spans="1:8" x14ac:dyDescent="0.25">
      <c r="A36" s="11">
        <v>35</v>
      </c>
      <c r="B36" s="11">
        <v>2034</v>
      </c>
      <c r="C36" s="11">
        <v>7792</v>
      </c>
      <c r="D36" s="11"/>
      <c r="E36" s="11">
        <v>0</v>
      </c>
      <c r="F36" s="11">
        <v>1</v>
      </c>
      <c r="G36" s="11">
        <v>3</v>
      </c>
      <c r="H36" s="11">
        <v>0</v>
      </c>
    </row>
    <row r="37" spans="1:8" x14ac:dyDescent="0.25">
      <c r="A37" s="11">
        <v>36</v>
      </c>
      <c r="B37" s="11">
        <v>1773</v>
      </c>
      <c r="C37" s="11">
        <v>7795</v>
      </c>
      <c r="D37" s="11">
        <v>1773</v>
      </c>
      <c r="E37" s="11">
        <v>0</v>
      </c>
      <c r="F37" s="11">
        <v>0</v>
      </c>
      <c r="G37" s="11">
        <v>14</v>
      </c>
      <c r="H37" s="11">
        <v>0</v>
      </c>
    </row>
    <row r="38" spans="1:8" x14ac:dyDescent="0.25">
      <c r="A38" s="11">
        <v>37</v>
      </c>
      <c r="B38" s="11">
        <v>1773</v>
      </c>
      <c r="C38" s="11">
        <v>7796</v>
      </c>
      <c r="D38" s="11">
        <v>1773</v>
      </c>
      <c r="E38" s="11">
        <v>0</v>
      </c>
      <c r="F38" s="11">
        <v>1</v>
      </c>
      <c r="G38" s="11">
        <v>12</v>
      </c>
      <c r="H38" s="11">
        <v>0</v>
      </c>
    </row>
  </sheetData>
  <autoFilter ref="A1:H38"/>
  <pageMargins left="0.7" right="0.7" top="0.75" bottom="0.75" header="0.3" footer="0.3"/>
  <pageSetup paperSize="9" orientation="portrait" verticalDpi="0" r:id="rId1"/>
  <headerFooter>
    <oddHeader>&amp;C&amp;"Cambria"&amp;11&amp;K1AFF96 Classification | INTERNAL</oddHeader>
    <oddFooter>&amp;C&amp;"Cambria"&amp;11&amp;K1AFF96 Classification | 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0"/>
  <sheetViews>
    <sheetView topLeftCell="D2" workbookViewId="0">
      <selection activeCell="N2" sqref="N2"/>
    </sheetView>
  </sheetViews>
  <sheetFormatPr defaultRowHeight="15" x14ac:dyDescent="0.25"/>
  <cols>
    <col min="2" max="2" width="22.42578125" bestFit="1" customWidth="1"/>
    <col min="3" max="3" width="11.5703125" customWidth="1"/>
    <col min="4" max="4" width="10.7109375" customWidth="1"/>
    <col min="5" max="5" width="22.85546875" customWidth="1"/>
    <col min="6" max="6" width="31.5703125" bestFit="1" customWidth="1"/>
    <col min="9" max="9" width="12.42578125" bestFit="1" customWidth="1"/>
    <col min="14" max="14" width="12" bestFit="1" customWidth="1"/>
  </cols>
  <sheetData>
    <row r="1" spans="2:17" x14ac:dyDescent="0.25">
      <c r="B1" s="1" t="s">
        <v>268</v>
      </c>
      <c r="C1" s="1" t="s">
        <v>269</v>
      </c>
      <c r="D1" s="1" t="s">
        <v>270</v>
      </c>
      <c r="E1" s="1" t="s">
        <v>240</v>
      </c>
      <c r="F1" s="1" t="s">
        <v>278</v>
      </c>
      <c r="L1">
        <v>0.436</v>
      </c>
      <c r="M1" t="s">
        <v>307</v>
      </c>
      <c r="N1" t="s">
        <v>305</v>
      </c>
      <c r="P1" t="s">
        <v>414</v>
      </c>
      <c r="Q1">
        <v>0.21820000000000001</v>
      </c>
    </row>
    <row r="2" spans="2:17" x14ac:dyDescent="0.25">
      <c r="B2" t="s">
        <v>45</v>
      </c>
      <c r="C2">
        <v>1773</v>
      </c>
      <c r="D2">
        <v>7795</v>
      </c>
      <c r="E2" t="s">
        <v>43</v>
      </c>
      <c r="F2" t="s">
        <v>271</v>
      </c>
      <c r="L2">
        <v>4.5</v>
      </c>
      <c r="M2">
        <v>0.12</v>
      </c>
      <c r="N2">
        <f>M2*$L$2</f>
        <v>0.54</v>
      </c>
    </row>
    <row r="3" spans="2:17" x14ac:dyDescent="0.25">
      <c r="B3" t="s">
        <v>45</v>
      </c>
      <c r="C3">
        <v>1773</v>
      </c>
      <c r="D3">
        <v>7796</v>
      </c>
      <c r="E3" t="s">
        <v>44</v>
      </c>
      <c r="F3" t="s">
        <v>271</v>
      </c>
      <c r="M3">
        <v>0.14000000000000001</v>
      </c>
      <c r="N3">
        <f t="shared" ref="N3:N4" si="0">M3*$L$2</f>
        <v>0.63000000000000012</v>
      </c>
    </row>
    <row r="4" spans="2:17" x14ac:dyDescent="0.25">
      <c r="B4" t="s">
        <v>98</v>
      </c>
      <c r="C4">
        <v>1867</v>
      </c>
      <c r="D4">
        <v>7576</v>
      </c>
      <c r="E4" t="s">
        <v>28</v>
      </c>
      <c r="F4" t="s">
        <v>272</v>
      </c>
      <c r="M4">
        <v>0.23</v>
      </c>
      <c r="N4">
        <f t="shared" si="0"/>
        <v>1.0350000000000001</v>
      </c>
    </row>
    <row r="5" spans="2:17" x14ac:dyDescent="0.25">
      <c r="B5" t="s">
        <v>98</v>
      </c>
      <c r="C5">
        <v>1867</v>
      </c>
      <c r="D5">
        <v>7577</v>
      </c>
      <c r="E5" t="s">
        <v>8</v>
      </c>
      <c r="F5" t="s">
        <v>272</v>
      </c>
      <c r="N5">
        <f>SUM(N2:N4)</f>
        <v>2.2050000000000001</v>
      </c>
    </row>
    <row r="6" spans="2:17" x14ac:dyDescent="0.25">
      <c r="B6" t="s">
        <v>59</v>
      </c>
      <c r="C6">
        <v>1887</v>
      </c>
      <c r="D6">
        <v>7789</v>
      </c>
      <c r="E6" t="s">
        <v>57</v>
      </c>
      <c r="F6" t="s">
        <v>275</v>
      </c>
    </row>
    <row r="7" spans="2:17" x14ac:dyDescent="0.25">
      <c r="B7" t="s">
        <v>59</v>
      </c>
      <c r="C7">
        <v>1887</v>
      </c>
      <c r="D7">
        <v>7790</v>
      </c>
      <c r="E7" t="s">
        <v>8</v>
      </c>
      <c r="F7" t="s">
        <v>275</v>
      </c>
    </row>
    <row r="8" spans="2:17" x14ac:dyDescent="0.25">
      <c r="B8" t="s">
        <v>55</v>
      </c>
      <c r="C8">
        <v>1796</v>
      </c>
      <c r="D8">
        <v>7637</v>
      </c>
      <c r="E8" t="s">
        <v>51</v>
      </c>
      <c r="F8" t="s">
        <v>273</v>
      </c>
    </row>
    <row r="9" spans="2:17" x14ac:dyDescent="0.25">
      <c r="B9" t="s">
        <v>35</v>
      </c>
      <c r="C9">
        <v>1886</v>
      </c>
      <c r="D9">
        <v>7574</v>
      </c>
      <c r="E9" t="s">
        <v>24</v>
      </c>
    </row>
    <row r="10" spans="2:17" x14ac:dyDescent="0.25">
      <c r="B10" t="s">
        <v>35</v>
      </c>
      <c r="C10">
        <v>1886</v>
      </c>
      <c r="D10">
        <v>7566</v>
      </c>
      <c r="E10" t="s">
        <v>8</v>
      </c>
      <c r="F10" t="s">
        <v>277</v>
      </c>
    </row>
    <row r="11" spans="2:17" x14ac:dyDescent="0.25">
      <c r="B11" t="s">
        <v>35</v>
      </c>
      <c r="C11">
        <v>1886</v>
      </c>
      <c r="D11">
        <v>7572</v>
      </c>
      <c r="E11" t="s">
        <v>24</v>
      </c>
    </row>
    <row r="12" spans="2:17" x14ac:dyDescent="0.25">
      <c r="B12" t="s">
        <v>35</v>
      </c>
      <c r="C12">
        <v>1886</v>
      </c>
      <c r="D12">
        <v>7575</v>
      </c>
      <c r="E12" t="s">
        <v>36</v>
      </c>
      <c r="I12" t="s">
        <v>221</v>
      </c>
      <c r="K12">
        <v>8.7499999999999994E-2</v>
      </c>
    </row>
    <row r="13" spans="2:17" x14ac:dyDescent="0.25">
      <c r="B13" t="s">
        <v>35</v>
      </c>
      <c r="C13">
        <v>1886</v>
      </c>
      <c r="D13">
        <v>7586</v>
      </c>
      <c r="E13" t="s">
        <v>37</v>
      </c>
      <c r="I13" t="s">
        <v>224</v>
      </c>
      <c r="K13" s="105">
        <v>8.8999999999999996E-2</v>
      </c>
    </row>
    <row r="14" spans="2:17" x14ac:dyDescent="0.25">
      <c r="B14" t="s">
        <v>55</v>
      </c>
      <c r="C14">
        <v>1872</v>
      </c>
      <c r="D14">
        <v>7643</v>
      </c>
      <c r="E14" t="s">
        <v>37</v>
      </c>
      <c r="F14" t="s">
        <v>274</v>
      </c>
      <c r="K14">
        <f>SUM(K12:K13)</f>
        <v>0.17649999999999999</v>
      </c>
    </row>
    <row r="15" spans="2:17" x14ac:dyDescent="0.25">
      <c r="B15" t="s">
        <v>55</v>
      </c>
      <c r="C15">
        <v>1872</v>
      </c>
      <c r="D15">
        <v>7644</v>
      </c>
      <c r="E15" t="s">
        <v>43</v>
      </c>
      <c r="F15" t="s">
        <v>274</v>
      </c>
      <c r="K15">
        <f>K14/3</f>
        <v>5.8833333333333328E-2</v>
      </c>
    </row>
    <row r="16" spans="2:17" x14ac:dyDescent="0.25">
      <c r="B16" t="s">
        <v>75</v>
      </c>
      <c r="C16">
        <v>1993</v>
      </c>
      <c r="D16">
        <v>1247</v>
      </c>
      <c r="E16" t="s">
        <v>77</v>
      </c>
      <c r="F16" t="s">
        <v>273</v>
      </c>
    </row>
    <row r="17" spans="2:6" x14ac:dyDescent="0.25">
      <c r="B17" t="s">
        <v>75</v>
      </c>
      <c r="C17">
        <v>2033</v>
      </c>
      <c r="D17">
        <v>1249</v>
      </c>
      <c r="E17" t="s">
        <v>78</v>
      </c>
      <c r="F17" t="s">
        <v>273</v>
      </c>
    </row>
    <row r="18" spans="2:6" x14ac:dyDescent="0.25">
      <c r="B18" t="s">
        <v>83</v>
      </c>
      <c r="C18">
        <v>1993</v>
      </c>
      <c r="D18">
        <v>7528</v>
      </c>
      <c r="E18" t="s">
        <v>74</v>
      </c>
      <c r="F18" s="141" t="s">
        <v>276</v>
      </c>
    </row>
    <row r="19" spans="2:6" x14ac:dyDescent="0.25">
      <c r="B19" t="s">
        <v>83</v>
      </c>
      <c r="C19">
        <v>1993</v>
      </c>
      <c r="D19">
        <v>7529</v>
      </c>
      <c r="E19" t="s">
        <v>78</v>
      </c>
      <c r="F19" s="142"/>
    </row>
    <row r="20" spans="2:6" x14ac:dyDescent="0.25">
      <c r="B20" t="s">
        <v>83</v>
      </c>
      <c r="C20">
        <v>1993</v>
      </c>
      <c r="D20">
        <v>7530</v>
      </c>
      <c r="E20" t="s">
        <v>84</v>
      </c>
      <c r="F20" s="142"/>
    </row>
  </sheetData>
  <mergeCells count="1">
    <mergeCell ref="F18:F20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E21" sqref="E21"/>
    </sheetView>
  </sheetViews>
  <sheetFormatPr defaultRowHeight="15" x14ac:dyDescent="0.25"/>
  <sheetData>
    <row r="1" spans="1:6" x14ac:dyDescent="0.25">
      <c r="A1">
        <v>267</v>
      </c>
    </row>
    <row r="2" spans="1:6" x14ac:dyDescent="0.25">
      <c r="A2">
        <v>62</v>
      </c>
      <c r="E2" s="153" t="s">
        <v>242</v>
      </c>
      <c r="F2" s="153" t="s">
        <v>435</v>
      </c>
    </row>
    <row r="3" spans="1:6" x14ac:dyDescent="0.25">
      <c r="A3">
        <f>SUM(A1:A2)</f>
        <v>329</v>
      </c>
      <c r="B3">
        <f>A3/2</f>
        <v>164.5</v>
      </c>
      <c r="C3">
        <f>B3/3</f>
        <v>54.833333333333336</v>
      </c>
      <c r="E3" s="152">
        <v>0</v>
      </c>
      <c r="F3" s="152">
        <v>10</v>
      </c>
    </row>
    <row r="4" spans="1:6" x14ac:dyDescent="0.25">
      <c r="E4" s="152">
        <v>0</v>
      </c>
      <c r="F4" s="152">
        <v>18</v>
      </c>
    </row>
    <row r="5" spans="1:6" x14ac:dyDescent="0.25">
      <c r="E5" s="152">
        <v>0</v>
      </c>
      <c r="F5" s="152">
        <v>16.2</v>
      </c>
    </row>
    <row r="6" spans="1:6" x14ac:dyDescent="0.25">
      <c r="E6" s="152">
        <v>0</v>
      </c>
      <c r="F6" s="152">
        <v>18.899999999999999</v>
      </c>
    </row>
    <row r="7" spans="1:6" x14ac:dyDescent="0.25">
      <c r="E7" s="152">
        <v>12</v>
      </c>
      <c r="F7" s="152">
        <v>10</v>
      </c>
    </row>
    <row r="8" spans="1:6" x14ac:dyDescent="0.25">
      <c r="E8" s="152">
        <v>1</v>
      </c>
      <c r="F8" s="152">
        <v>10</v>
      </c>
    </row>
    <row r="9" spans="1:6" x14ac:dyDescent="0.25">
      <c r="E9" s="152">
        <v>0</v>
      </c>
      <c r="F9" s="152">
        <v>10</v>
      </c>
    </row>
    <row r="10" spans="1:6" x14ac:dyDescent="0.25">
      <c r="E10" s="152"/>
      <c r="F10" s="152">
        <v>18</v>
      </c>
    </row>
    <row r="11" spans="1:6" x14ac:dyDescent="0.25">
      <c r="E11" s="152">
        <v>0</v>
      </c>
      <c r="F11" s="152">
        <v>16.2</v>
      </c>
    </row>
    <row r="12" spans="1:6" x14ac:dyDescent="0.25">
      <c r="E12" s="152">
        <v>0</v>
      </c>
      <c r="F12" s="152">
        <v>18.2</v>
      </c>
    </row>
    <row r="13" spans="1:6" x14ac:dyDescent="0.25">
      <c r="E13" s="152">
        <v>12</v>
      </c>
      <c r="F13" s="152">
        <v>10</v>
      </c>
    </row>
    <row r="14" spans="1:6" x14ac:dyDescent="0.25">
      <c r="E14" s="152">
        <v>1</v>
      </c>
      <c r="F14" s="152">
        <v>10</v>
      </c>
    </row>
    <row r="15" spans="1:6" x14ac:dyDescent="0.25">
      <c r="E15" s="152">
        <v>1</v>
      </c>
      <c r="F15" s="152">
        <v>11</v>
      </c>
    </row>
    <row r="16" spans="1:6" x14ac:dyDescent="0.25">
      <c r="E16" s="152">
        <v>0</v>
      </c>
      <c r="F16" s="152">
        <v>16.399999999999999</v>
      </c>
    </row>
    <row r="17" spans="5:6" x14ac:dyDescent="0.25">
      <c r="E17" s="152">
        <v>0</v>
      </c>
      <c r="F17" s="152">
        <v>18.899999999999999</v>
      </c>
    </row>
    <row r="18" spans="5:6" x14ac:dyDescent="0.25">
      <c r="E18" s="152">
        <v>12</v>
      </c>
      <c r="F18" s="152">
        <v>10</v>
      </c>
    </row>
    <row r="19" spans="5:6" x14ac:dyDescent="0.25">
      <c r="E19" s="152">
        <v>1</v>
      </c>
      <c r="F19" s="152">
        <v>10</v>
      </c>
    </row>
    <row r="20" spans="5:6" x14ac:dyDescent="0.25">
      <c r="E20">
        <f>SUM(E3:E19)</f>
        <v>40</v>
      </c>
      <c r="F20">
        <f>SUM(F3:F19)</f>
        <v>231.8</v>
      </c>
    </row>
    <row r="21" spans="5:6" x14ac:dyDescent="0.25">
      <c r="E21" s="154">
        <v>51</v>
      </c>
      <c r="F21">
        <f>232/20</f>
        <v>11.6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2024-05-22 21:20:50</KDate>
  <Classification>INTERNAL</Classification>
  <Subclassification/>
  <HostName>UIHO-13194</HostName>
  <Domain_User>USHADOMAIN/13194</Domain_User>
  <IPAdd>192.168.1.14</IPAdd>
  <FilePath>https://ushain-my.sharepoint.com/personal/jaya_lal_usha_com/Documents/Desktop/DARBHANGA-LANDS.xlsx</FilePath>
  <KID>78AF0802F616638520096501705455</KID>
  <UniqueName/>
  <Suggested/>
  <Justification/>
</Klassify>
</file>

<file path=customXml/itemProps1.xml><?xml version="1.0" encoding="utf-8"?>
<ds:datastoreItem xmlns:ds="http://schemas.openxmlformats.org/officeDocument/2006/customXml" ds:itemID="{7D54FBA5-CEB9-4278-B735-F775FDFE2CE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Master-Data-Bhaiji</vt:lpstr>
      <vt:lpstr>UNLal Khet-Gachhi Batwara</vt:lpstr>
      <vt:lpstr>RNLal Khet-Gachhi Batwara</vt:lpstr>
      <vt:lpstr>LNLal Khet-Gachhi Batwara</vt:lpstr>
      <vt:lpstr>Lekh Nath Lal-SONS</vt:lpstr>
      <vt:lpstr>R. N. Lal</vt:lpstr>
      <vt:lpstr>U. N. Lal</vt:lpstr>
      <vt:lpstr>Sheet4</vt:lpstr>
      <vt:lpstr>Misc Batwara</vt:lpstr>
      <vt:lpstr>Aapsi Batwara</vt:lpstr>
      <vt:lpstr> DISCUSSED WITH AMEEN</vt:lpstr>
      <vt:lpstr>Old-New Khesra</vt:lpstr>
      <vt:lpstr>RAKBA AS PER AMEEN</vt:lpstr>
      <vt:lpstr>Sheet2</vt:lpstr>
      <vt:lpstr>Sheet1</vt:lpstr>
      <vt:lpstr>'LNLal Khet-Gachhi Batwara'!Print_Area</vt:lpstr>
      <vt:lpstr>'RNLal Khet-Gachhi Batwara'!Print_Area</vt:lpstr>
      <vt:lpstr>'UNLal Khet-Gachhi Batwara'!Print_Area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2025-09-16T22:40:04Z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78AF0802F616638520096501705455</vt:lpwstr>
  </property>
</Properties>
</file>